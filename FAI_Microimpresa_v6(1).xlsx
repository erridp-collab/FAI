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8_{C414E238-3278-48F3-BEA7-D4ADDE2DC316}" xr6:coauthVersionLast="47" xr6:coauthVersionMax="47" xr10:uidLastSave="{00000000-0000-0000-0000-000000000000}"/>
  <bookViews>
    <workbookView xWindow="0" yWindow="0" windowWidth="16384" windowHeight="8192" tabRatio="500" firstSheet="3" activeTab="3" xr2:uid="{00000000-000D-0000-FFFF-FFFF00000000}"/>
  </bookViews>
  <sheets>
    <sheet name="Istruzioni" sheetId="1" r:id="rId1"/>
    <sheet name="Prima di iniziare" sheetId="2" r:id="rId2"/>
    <sheet name="La tua realtà" sheetId="3" r:id="rId3"/>
    <sheet name="Report_Logic" sheetId="5" r:id="rId4"/>
    <sheet name="Risultati" sheetId="4" r:id="rId5"/>
    <sheet name="Prodotti Alva" sheetId="6" r:id="rId6"/>
    <sheet name="1_Apertura" sheetId="7" state="hidden" r:id="rId7"/>
    <sheet name="2_Le7Aree" sheetId="8" state="hidden" r:id="rId8"/>
    <sheet name="3_Subindici" sheetId="9" state="hidden" r:id="rId9"/>
    <sheet name="4_PercAnalisi" sheetId="10" state="hidden" r:id="rId10"/>
    <sheet name="5_RischioInerzia" sheetId="11" state="hidden" r:id="rId11"/>
    <sheet name="6_Azioni" sheetId="12" state="hidden" r:id="rId1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1" i="3" l="1"/>
  <c r="B23" i="5"/>
  <c r="F50" i="3"/>
  <c r="F35" i="3"/>
  <c r="F26" i="3"/>
  <c r="F16" i="3"/>
  <c r="D79" i="5"/>
  <c r="D78" i="5"/>
  <c r="D77" i="5"/>
  <c r="D76" i="5"/>
  <c r="D75" i="5"/>
  <c r="D74" i="5"/>
  <c r="D73" i="5"/>
  <c r="B29" i="5"/>
  <c r="B28" i="5"/>
  <c r="B27" i="5"/>
  <c r="B26" i="5"/>
  <c r="B25" i="5"/>
  <c r="B24" i="5"/>
  <c r="B20" i="5"/>
  <c r="B19" i="5"/>
  <c r="B18" i="5"/>
  <c r="B17" i="5"/>
  <c r="B15" i="5"/>
  <c r="B30" i="4"/>
  <c r="B29" i="4"/>
  <c r="B28" i="4"/>
  <c r="B27" i="4"/>
  <c r="B26" i="4"/>
  <c r="B25" i="4"/>
  <c r="B24" i="4"/>
  <c r="B19" i="4"/>
  <c r="B18" i="4"/>
  <c r="B17" i="4"/>
  <c r="B16" i="4"/>
  <c r="B14" i="4"/>
  <c r="F64" i="3"/>
  <c r="H63" i="3"/>
  <c r="H62" i="3"/>
  <c r="H61" i="3"/>
  <c r="H60" i="3"/>
  <c r="H64" i="3" s="1"/>
  <c r="F57" i="3"/>
  <c r="H56" i="3"/>
  <c r="H55" i="3"/>
  <c r="H54" i="3"/>
  <c r="H53" i="3"/>
  <c r="H57" i="3" s="1"/>
  <c r="H49" i="3"/>
  <c r="H48" i="3"/>
  <c r="H47" i="3"/>
  <c r="H46" i="3"/>
  <c r="H45" i="3"/>
  <c r="H50" i="3" s="1"/>
  <c r="F42" i="3"/>
  <c r="H41" i="3"/>
  <c r="H40" i="3"/>
  <c r="H39" i="3"/>
  <c r="H38" i="3"/>
  <c r="H42" i="3" s="1"/>
  <c r="H33" i="3"/>
  <c r="H32" i="3"/>
  <c r="H30" i="3"/>
  <c r="H29" i="3"/>
  <c r="H35" i="3" s="1"/>
  <c r="H25" i="3"/>
  <c r="H24" i="3"/>
  <c r="H23" i="3"/>
  <c r="H22" i="3"/>
  <c r="H21" i="3"/>
  <c r="H20" i="3"/>
  <c r="H19" i="3"/>
  <c r="H26" i="3" s="1"/>
  <c r="H15" i="3"/>
  <c r="H14" i="3"/>
  <c r="H13" i="3"/>
  <c r="H16" i="3" s="1"/>
  <c r="H66" i="3" s="1"/>
  <c r="B5" i="5" l="1"/>
  <c r="D44" i="4"/>
  <c r="C44" i="4"/>
  <c r="B44" i="4"/>
  <c r="B34" i="4"/>
  <c r="E24" i="4"/>
  <c r="D24" i="4"/>
  <c r="C24" i="4"/>
  <c r="D3" i="4"/>
  <c r="C3" i="4"/>
  <c r="B3" i="4"/>
  <c r="F66" i="3"/>
  <c r="B16" i="5"/>
  <c r="B6" i="5"/>
  <c r="D45" i="4"/>
  <c r="C45" i="4"/>
  <c r="B45" i="4"/>
  <c r="B35" i="4"/>
  <c r="E25" i="4"/>
  <c r="D25" i="4"/>
  <c r="C25" i="4"/>
  <c r="B15" i="4"/>
  <c r="D4" i="4"/>
  <c r="C4" i="4"/>
  <c r="B4" i="4"/>
  <c r="B7" i="5"/>
  <c r="D46" i="4"/>
  <c r="C46" i="4"/>
  <c r="B46" i="4"/>
  <c r="B36" i="4"/>
  <c r="E26" i="4"/>
  <c r="D26" i="4"/>
  <c r="C26" i="4"/>
  <c r="D5" i="4"/>
  <c r="C5" i="4"/>
  <c r="B5" i="4"/>
  <c r="B21" i="5"/>
  <c r="B8" i="5"/>
  <c r="D47" i="4"/>
  <c r="C47" i="4"/>
  <c r="B47" i="4"/>
  <c r="B37" i="4"/>
  <c r="E27" i="4"/>
  <c r="D27" i="4"/>
  <c r="C27" i="4"/>
  <c r="B20" i="4"/>
  <c r="E20" i="4" s="1"/>
  <c r="D6" i="4"/>
  <c r="C6" i="4"/>
  <c r="B6" i="4"/>
  <c r="B9" i="5"/>
  <c r="D48" i="4"/>
  <c r="C48" i="4"/>
  <c r="B48" i="4"/>
  <c r="B38" i="4"/>
  <c r="E28" i="4"/>
  <c r="D28" i="4"/>
  <c r="C28" i="4"/>
  <c r="D7" i="4"/>
  <c r="C7" i="4"/>
  <c r="B7" i="4"/>
  <c r="B10" i="5"/>
  <c r="D49" i="4"/>
  <c r="C49" i="4"/>
  <c r="B49" i="4"/>
  <c r="B39" i="4"/>
  <c r="E29" i="4"/>
  <c r="D29" i="4"/>
  <c r="C29" i="4"/>
  <c r="D8" i="4"/>
  <c r="C8" i="4"/>
  <c r="B8" i="4"/>
  <c r="B11" i="5"/>
  <c r="D50" i="4"/>
  <c r="C50" i="4"/>
  <c r="B50" i="4"/>
  <c r="B40" i="4"/>
  <c r="E30" i="4"/>
  <c r="D30" i="4"/>
  <c r="C30" i="4"/>
  <c r="D9" i="4"/>
  <c r="C9" i="4"/>
  <c r="B9" i="4"/>
  <c r="E14" i="4"/>
  <c r="D14" i="4"/>
  <c r="C14" i="4"/>
  <c r="E16" i="4"/>
  <c r="D16" i="4"/>
  <c r="C16" i="4"/>
  <c r="E17" i="4"/>
  <c r="D17" i="4"/>
  <c r="C17" i="4"/>
  <c r="E18" i="4"/>
  <c r="D18" i="4"/>
  <c r="C18" i="4"/>
  <c r="E19" i="4"/>
  <c r="D19" i="4"/>
  <c r="C19" i="4"/>
  <c r="E51" i="5"/>
  <c r="D51" i="5"/>
  <c r="C51" i="5"/>
  <c r="B51" i="5"/>
  <c r="E53" i="5"/>
  <c r="D53" i="5"/>
  <c r="C53" i="5"/>
  <c r="B53" i="5"/>
  <c r="E54" i="5"/>
  <c r="D54" i="5"/>
  <c r="C54" i="5"/>
  <c r="B54" i="5"/>
  <c r="E55" i="5"/>
  <c r="D55" i="5"/>
  <c r="C55" i="5"/>
  <c r="B55" i="5"/>
  <c r="E56" i="5"/>
  <c r="D56" i="5"/>
  <c r="C56" i="5"/>
  <c r="B56" i="5"/>
  <c r="E79" i="5" l="1"/>
  <c r="C79" i="5"/>
  <c r="B79" i="5"/>
  <c r="C68" i="5"/>
  <c r="B68" i="5"/>
  <c r="C45" i="5"/>
  <c r="B45" i="5"/>
  <c r="E78" i="5"/>
  <c r="C78" i="5"/>
  <c r="B78" i="5"/>
  <c r="C67" i="5"/>
  <c r="B67" i="5"/>
  <c r="C44" i="5"/>
  <c r="B44" i="5"/>
  <c r="E77" i="5"/>
  <c r="C77" i="5"/>
  <c r="B77" i="5"/>
  <c r="C66" i="5"/>
  <c r="B66" i="5"/>
  <c r="C43" i="5"/>
  <c r="B43" i="5"/>
  <c r="D20" i="4"/>
  <c r="C20" i="4"/>
  <c r="E76" i="5"/>
  <c r="C76" i="5"/>
  <c r="B76" i="5"/>
  <c r="C65" i="5"/>
  <c r="B65" i="5"/>
  <c r="C42" i="5"/>
  <c r="B42" i="5"/>
  <c r="E57" i="5"/>
  <c r="D57" i="5"/>
  <c r="C57" i="5"/>
  <c r="B57" i="5"/>
  <c r="E75" i="5"/>
  <c r="C75" i="5"/>
  <c r="B75" i="5"/>
  <c r="C64" i="5"/>
  <c r="B64" i="5"/>
  <c r="C41" i="5"/>
  <c r="B41" i="5"/>
  <c r="E15" i="4"/>
  <c r="D15" i="4"/>
  <c r="C15" i="4"/>
  <c r="E74" i="5"/>
  <c r="C74" i="5"/>
  <c r="B74" i="5"/>
  <c r="C63" i="5"/>
  <c r="B63" i="5"/>
  <c r="C40" i="5"/>
  <c r="B40" i="5"/>
  <c r="B14" i="5"/>
  <c r="C84" i="5" s="1"/>
  <c r="E52" i="5"/>
  <c r="D52" i="5"/>
  <c r="C52" i="5"/>
  <c r="B52" i="5"/>
  <c r="B12" i="5"/>
  <c r="D10" i="4"/>
  <c r="E73" i="5"/>
  <c r="C73" i="5"/>
  <c r="B73" i="5"/>
  <c r="C62" i="5"/>
  <c r="B62" i="5"/>
  <c r="C39" i="5"/>
  <c r="B39" i="5"/>
  <c r="B13" i="5"/>
  <c r="C34" i="5" l="1"/>
  <c r="B3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tc={0746DA59-4539-4A22-ACD5-E0E44979B35F}</author>
  </authors>
  <commentList>
    <comment ref="G41" authorId="0" shapeId="0" xr:uid="{0746DA59-4539-4A22-ACD5-E0E44979B35F}">
      <text>
        <t>[Threaded comment]
Your version of Excel allows you to read this threaded comment; however, any edits to it will get removed if the file is opened in a newer version of Excel. Learn more: https://go.microsoft.com/fwlink/?linkid=870924
Comment:
    we can incorporate this into the prompt for the agent</t>
      </text>
    </comment>
  </commentList>
</comments>
</file>

<file path=xl/sharedStrings.xml><?xml version="1.0" encoding="utf-8"?>
<sst xmlns="http://schemas.openxmlformats.org/spreadsheetml/2006/main" count="1038" uniqueCount="616">
  <si>
    <t>Diagnosi microimprese — Quanto è solida la tua attività?</t>
  </si>
  <si>
    <t>60 minuti per capire punti di forza ed eventuali aree esposte.</t>
  </si>
  <si>
    <t>Per chi</t>
  </si>
  <si>
    <t>Per te che gestisci un'attività — qualsiasi attività. Un B&amp;B, una casa vacanze, un ristorante, una bottega, un agriturismo, un negozio, un servizio collegato in maniera diretta o indiretta con il turismo. Non serve esperienza tecnica: se conosci la tua attività, puoi compilarlo.</t>
  </si>
  <si>
    <t>Cosa fa</t>
  </si>
  <si>
    <t>Ti dice quanto è solida la tua attività — quanto regge se qualcosa cambia o va male. Non è un esame: è una diagnosi onesta basata sui tuoi dati costruita utilizzando strumenti verificati e progettati su misura per piccole imprese.</t>
  </si>
  <si>
    <t>Come funziona</t>
  </si>
  <si>
    <t>(1) 'Prima di iniziare' — 5 minuti, come ti senti tu. 
(2) 'La tua realtà' — 50-60 minuti, l'analisi vera. 
(3) 'I risultati numerici' — vengono calcolati automaticamente.
(4) 'La relazione personalizzata' - prende in considerazione anche i commenti che aggiungerai, e ti verrà inviata per email.</t>
  </si>
  <si>
    <t>PRIMA DI INIZIARE</t>
  </si>
  <si>
    <t>5 minuti. Rispondi spontaneamente. Non ci sono risposte giuste o sbagliate e lo scopo di Alva non è giudicare, ma aiutare a comprendere.
L'unica cosa che conta è ci racconti la tua attività in maniera trasparente. Più sarai sincero, più la diagnosi sarà accurata e le raccomandazioni operative utili.</t>
  </si>
  <si>
    <t>BLOCCO 1: Tu e la tua attività (la tua percezione)</t>
  </si>
  <si>
    <t>Per ogni domanda, da' un punteggio da 1 (per niente) a 5 (molto).</t>
  </si>
  <si>
    <t>N.</t>
  </si>
  <si>
    <t>Domanda</t>
  </si>
  <si>
    <t>1-5</t>
  </si>
  <si>
    <t>Cosa significa 1</t>
  </si>
  <si>
    <t>Cosa significa 3</t>
  </si>
  <si>
    <t>Cosa significa 5</t>
  </si>
  <si>
    <t>Commenti facoltativi</t>
  </si>
  <si>
    <t>Senti di avere una storia chiara? Qualcosa che ti rende unico e che i clienti riconoscono?</t>
  </si>
  <si>
    <t>Non saprei cosa dire di speciale / non ci ho mai pensato</t>
  </si>
  <si>
    <t>Sento di aver tanto da raccontare ma non riesco a raccontarmi come vorrei</t>
  </si>
  <si>
    <t>Sì, conosco la mia storia, so quello che faccio e perché e i clienti mi scelgono per quello che sono</t>
  </si>
  <si>
    <t>Ti senti tranquillo riguardo ai tuoi ricavi? Se un canale di vendita si chiudesse domani, cosa succederebbe?</t>
  </si>
  <si>
    <t>Non sono tranquillo, dipendo da un unico canale di vendita</t>
  </si>
  <si>
    <t>Ho diversi canali. Sento di poter fare di più, ma non so come/temo la complessità</t>
  </si>
  <si>
    <t>Mi sento tranquillo, ho diversi canali e riserve</t>
  </si>
  <si>
    <t>Quanto ti senti tranquillo sui numeri e, sai quanto guadagni davvero? Sei in regola con pagamenti, tasse, certificazioni? (Ad esempio, HACCP, norme antincendio, sicurezza sul lavoro e altri adempimenti obbligatori)</t>
  </si>
  <si>
    <t>Non ho idea / non sono sicuro di essere in regola</t>
  </si>
  <si>
    <t>Ho una conoscenza di base della mia situazione ma non dettagliata</t>
  </si>
  <si>
    <t>So esattamente quali sono i miei margini, sono a posto con tutto</t>
  </si>
  <si>
    <t>Se le cose cambiassero improvvisamente (crisi, stagione anomala, nuova legge), ti sentiresti pronto? Sapresti cosa fare?</t>
  </si>
  <si>
    <t>Ogni imprevisto mette in difficoltà la mia attività</t>
  </si>
  <si>
    <t>Mi servirebbe del tempo per capire come agire / avrei dubbi sulle decisioni da prendere</t>
  </si>
  <si>
    <t>Ho piani B, mi adatto in fretta, mi sento preparato per rispondere ai cambiamenti.</t>
  </si>
  <si>
    <t>Se per qualunque motivo non potessi lavorare per un mese, l'attività andrebbe avanti senza di te?</t>
  </si>
  <si>
    <t>Si fermerebbe tutto</t>
  </si>
  <si>
    <t>Continuerebbe con un certo sforzo/dovrei chiedere aiuto esterno</t>
  </si>
  <si>
    <t>Funzionerebbe quasi normalmente</t>
  </si>
  <si>
    <t>Ti senti parte di una rete, o lavori da solo? La comunità locale ti vede come una risorsa?</t>
  </si>
  <si>
    <t>Non ci ho mai pensato / Lavoro completamente isolato</t>
  </si>
  <si>
    <t>Faccio collaborazioni occasionali ma niente di strutturato</t>
  </si>
  <si>
    <t>Sono parte di una rete forte, la comunità mi apprezza e viceversa</t>
  </si>
  <si>
    <t>Senti che stai imparando e migliorando, o ripeti le stesse cose da anni?</t>
  </si>
  <si>
    <t>Faccio le stesse cose da sempre / Ho appena iniziato</t>
  </si>
  <si>
    <t>Cerco di tenermi aggiornato ma non sono sicuro di cogliere le opportunità giuste per me</t>
  </si>
  <si>
    <t>Imparo continuamente, sperimento, mi confronto</t>
  </si>
  <si>
    <t>BLOCCO 2: Scegli i 3 obiettivi più importanti per te adesso</t>
  </si>
  <si>
    <t>Obiettivo</t>
  </si>
  <si>
    <t>1/2/3</t>
  </si>
  <si>
    <t>Perché è importante per te - facoltativo</t>
  </si>
  <si>
    <t>Riuscire a raccontare meglio cosa mi rende diverso e smettere di competere solo sul prezzo.</t>
  </si>
  <si>
    <t>Diversificare i ricavi. Non dipendere solo da un canale di vendita o stagione.</t>
  </si>
  <si>
    <t>Capire i miei numeri davvero (margini, costi, sostenibilità).</t>
  </si>
  <si>
    <t>Prepararmi agli imprevisti (clima, normative, crisi, aumenti ecc).</t>
  </si>
  <si>
    <t>Rendere la mia attività meno dipendente da me personalmente.</t>
  </si>
  <si>
    <t>Collaborare con altre attività. Far parte di una rete. Cercare collaboratori.</t>
  </si>
  <si>
    <t>Espandermi su mercati o segmenti diversi.</t>
  </si>
  <si>
    <t>Imparare, migliorare, sperimentare cose nuove.</t>
  </si>
  <si>
    <t>Rendere più digitale la mia attività e proteggere meglio i dati.</t>
  </si>
  <si>
    <t>BLOCCO 3: Cosa ti preoccupa di più? (scegline UNA sola)</t>
  </si>
  <si>
    <t>Preoccupazione</t>
  </si>
  <si>
    <t>X</t>
  </si>
  <si>
    <t>Perché ti preoccupa - facoltativo</t>
  </si>
  <si>
    <t>Non sapere raccontare cosa mi rende diverso e competere solo sul prezzo.</t>
  </si>
  <si>
    <t>Dipendere troppo da un canale o una stagione.</t>
  </si>
  <si>
    <t>Non sapere davvero quanto guadagno.</t>
  </si>
  <si>
    <t>Non essere in regola con qualcosa senza saperlo e scoprirlo troppo tardi.</t>
  </si>
  <si>
    <t>Non essere preparato per un imprevisto serio (alluvione, pandemia, nuova legge ecc).</t>
  </si>
  <si>
    <t>Essere così indispensabile per la mia attività, da non poter mai staccare.</t>
  </si>
  <si>
    <t>Lavorare da solo, senza una rete, senza qualcuno con cui confrontarmi.</t>
  </si>
  <si>
    <t>Che il mio territorio perda attrattività e io i miei guadagni.</t>
  </si>
  <si>
    <t>Grazie delle informazioni che hai condiviso.
Ora clicca continua per iniziare il questionario vero e proprio.</t>
  </si>
  <si>
    <t>La tua realtà</t>
  </si>
  <si>
    <t>Per ogni domanda, dai un punteggio da 1 (molto vulnerabile) a 5 (molto forte).</t>
  </si>
  <si>
    <t>Nome attività</t>
  </si>
  <si>
    <t>Settore</t>
  </si>
  <si>
    <t>Località</t>
  </si>
  <si>
    <t>Data</t>
  </si>
  <si>
    <t>#</t>
  </si>
  <si>
    <t>Guida ai punteggi</t>
  </si>
  <si>
    <t>Non ci ho mai pensato</t>
  </si>
  <si>
    <t>Esempi / come pensarci</t>
  </si>
  <si>
    <t>1. LA TUA VOCE</t>
  </si>
  <si>
    <t>Sai cosa ti rende diverso? I tuoi clienti lo sanno?</t>
  </si>
  <si>
    <t>1.1</t>
  </si>
  <si>
    <t>Se ti chiedo perché un cliente dovrebbe scegliere te (non per il prezzo, non per la posizione), cosa risponderesti?</t>
  </si>
  <si>
    <t>1 = non saprei cosa rispondere / non ci ho mai pensato
3 = so cosa faccio ma fatico a spiegarlo in modo convincente
5 = ho una storia chiara, la racconto con sicurezza</t>
  </si>
  <si>
    <t>Non il 'cosa vendi' ma il 'perché lo fai e perché proprio qui'. Se non sai dirlo in 30 secondi, i clienti non lo sanno neanche loro.</t>
  </si>
  <si>
    <t>1.2</t>
  </si>
  <si>
    <t>Quando i clienti ti lasciano una recensione, parlano di qualcosa che solo tu potresti offrire, o potrebbero descrivere qualsiasi altra attività simile?</t>
  </si>
  <si>
    <t>1 = parlano solo di prezzo e di posizione
3 = alcuni riconoscono qualcosa di specifico, ma non tutti
5 = le recensioni dicono esattamente perché tornano da me</t>
  </si>
  <si>
    <t>Rileggi le recensioni o chiedi feedback direttamente ai tuoi clienti. Se potrebbero essere recensioni di un tuo concorrente sei a 1-2.</t>
  </si>
  <si>
    <t>1.3</t>
  </si>
  <si>
    <t>Chi ti trova online e poi viene da te trova la stessa cosa, o si aspettava qualcosa di diverso?</t>
  </si>
  <si>
    <t>1 = il modo in cui comunico e presento la mia attività è improvvisato o frammentato / non ci ho mai pensato
3 = il modo in cui comunico e presento la mia attività è abbastanza coerente
5 = chi mi vede online e chi viene da me trova la stessa cosa</t>
  </si>
  <si>
    <t>Confronta il tuo profilo Instagram con l'esperienza reale: sembrano la stessa attività?</t>
  </si>
  <si>
    <t>MEDIA</t>
  </si>
  <si>
    <t>2. I TUOI RICAVI</t>
  </si>
  <si>
    <t>Parlaci dei tuoi ricavi. Se un canale si chiude, hai un piano B?</t>
  </si>
  <si>
    <t>2.1</t>
  </si>
  <si>
    <t>Se il canale che ti porta più clienti chiudesse domani, quanto tempo impiegheresti a rimpiazzare quei ricavi?</t>
  </si>
  <si>
    <t>1 = avrei un problema serio, dipendo da un solo canale
3 = ci vorrebbe del tempo ma ho qualche alternativa
5 =  ho quattro o più canali attivi, nessuno supera il 40%</t>
  </si>
  <si>
    <t>x</t>
  </si>
  <si>
    <t>Non conta quanti canali di vendita hai aperto, ma quanti effettivamente portano clienti.</t>
  </si>
  <si>
    <t>2.2</t>
  </si>
  <si>
    <t>Se la tipologia di clienti che ti porta più ricavi smettesse di venire, quanto sarebbe un problema?</t>
  </si>
  <si>
    <t>1 = sarebbe un problema serio, una sola tipologia di cliente copre oltre il 70% dei ricavi
3 = sarebbe difficile ma gestibile, una tipologia sola copre il 40-50% dei ricavi
5 = non mi preoccuperei più di tanto. Nessuna tipologia di clienti supera il 25%, ho un mix reale</t>
  </si>
  <si>
    <t>Famiglie, coppie, business, stranieri ecc. Se una di queste tipologie sparisce, riesci a portare avanti la tua attività senza troppi sforzi?</t>
  </si>
  <si>
    <t>2.3</t>
  </si>
  <si>
    <t>Se i ricavi si azzerassero oggi, quanti mesi di spese fisse potresti coprire?</t>
  </si>
  <si>
    <t>1 = meno di 1 mese
3 = 2-3 mesi
5 = 5+ mesi</t>
  </si>
  <si>
    <t>La causa principale di chiusura delle piccole imprese non è la mancanza di clienti, è la cassa che non regge un momento difficile.</t>
  </si>
  <si>
    <t>2.4</t>
  </si>
  <si>
    <t>I tuoi ricavi sono distribuiti nell'anno o concentrati in pochi mesi?</t>
  </si>
  <si>
    <t>1 = lavoro meno di 6 mesi l'anno
3 = 6-7 mesi attivi
5 = 10+ mesi con offerta per la bassa stagione</t>
  </si>
  <si>
    <t>Te lo chiediamo perché i mesi morti costano: affitto, utenze, manutenzione sono spese da sostenere anche quando non lavori.</t>
  </si>
  <si>
    <t>2.5</t>
  </si>
  <si>
    <t>Un cliente che ti trova online può prenotare o acquistare direttamente da te — senza passare da Airbnb, Booking, Shopify o un altro intermediario?</t>
  </si>
  <si>
    <t>1 = no, non ho nulla di mio
3 = ho un sito ma senza possibilità di prenotazione o acquisto diretto
5 = sì ho un sito aggiornato e con prenotazione/acquisto diretto</t>
  </si>
  <si>
    <t>Te lo chiediamo perché serve a valutare il margine di profitto. Ogni prenotazione che passa da una piattaforma ha un costo. Sapere quanto ti costa ogni canale è il primo passo per ridurlo.</t>
  </si>
  <si>
    <t>2.6</t>
  </si>
  <si>
    <t>Su 100 euro di ricavi, quanti arrivano da clienti che comprano direttamente da te, senza passare da piattaforme, portali, marketplace o intermediari?</t>
  </si>
  <si>
    <t>1 = meno di 5 euro su 100 arrivano da canali diretti
3 = tra 15 e 25 euro su 100 arrivano da canali diretti
5 = più di 35 euro su 100 arrivano da canali diretti</t>
  </si>
  <si>
    <t>Te lo chiediamo perché più ricavi diretti hai, più hai controllo sul rapporto con il cliente, sui margini e sulle decisioni commerciali.</t>
  </si>
  <si>
    <t>2.7</t>
  </si>
  <si>
    <t>Se volessi contattare i tuoi clienti domani, per un'offerta, un aggiornamento, per ringraziarli, riusciresti a farlo senza troppi sforzi? Hai un elenco organizzato?</t>
  </si>
  <si>
    <t>1 = no / non ci ho mai pensato
3 = ho qualcosa ma non lo uso regolarmente 
5 = ho una lista attiva e aggiornata che uso regolarmente per comunicazioni con i clienti</t>
  </si>
  <si>
    <t>Per esempio, hai un gruppo WhatsApp / mailing list tramite cui raggiungere i tuoi clienti facilmente?</t>
  </si>
  <si>
    <t>3. I TUOI MARGINI</t>
  </si>
  <si>
    <t>Sai davvero quanto guadagni? Sei in regola con tutto?</t>
  </si>
  <si>
    <t>3.1</t>
  </si>
  <si>
    <t>Alla fine del mese, sai quanto ti rimane davvero dopo aver considerato tutti i costi dell’attività, le tasse previste e il valore del tuo lavoro?</t>
  </si>
  <si>
    <t>1 = non l'ho mai calcolato / non ci ho mai pensato
3 = lo so a grandi linee ma non lo controllo ogni mese
5 = lo calcolo ogni mese, includendo costi, tasse previste e valore del mio lavoro</t>
  </si>
  <si>
    <t>Includi tutti i costi reali dell’attività: affitto, utenze, fornitori, materie prime, commissioni, strumenti, consulenti, trasporti, tasse e contributi. E includi anche il tuo tempo: se non ti paghi, o non consideri il valore del tuo lavoro, il margine che vedi non è reale.</t>
  </si>
  <si>
    <t>3.2</t>
  </si>
  <si>
    <t>Se arrivasse un controllo domani (CIN, sicurezza, GDPR, HACCP, antincendio etc.) saresti tranquillo?</t>
  </si>
  <si>
    <t>1 = so che dovrei sistemare delle cose, ci sto lavorando
3 = sono in regola ma non seguo gli aggiornamenti normativi
5 = sono in regola e mi tengo aggiornato quando le regole cambiano</t>
  </si>
  <si>
    <t>Le normative cambiano in fretta. Non sapere ha un costo, spesso più alto di quello che si pensa.</t>
  </si>
  <si>
    <t>3.3</t>
  </si>
  <si>
    <t>Sai qual è il prodotto o servizio su cui guadagni di più, e qual è quello su cui guadagni di meno, con numeri precisi?</t>
  </si>
  <si>
    <t>1 = non so / non ci ho mai pensato
3 = saprei rispondere a intuito, ma senza numeri precisi
5 = sì, saprei rispondere con numeri aggiornati e li uso per decidere cosa promuovere, aumentare, ridurre o cambiare</t>
  </si>
  <si>
    <t>Questa domanda serve a capire se sai dove guadagni davvero. Non tutti i prodotti / servizi hanno lo stesso margine. Alcuni possono vendere tanto ma lasciare poco, perché richiedono molto tempo, hanno costi alti, commissioni, sprechi o consegne costose. Altri possono vendere meno, ma lasciare un margine migliore.</t>
  </si>
  <si>
    <t>3.4</t>
  </si>
  <si>
    <t>Riesci a dire, senza andare a controllare, quali sono le tue spese più alte questo mese e approssimativamente a quanto ammontano?</t>
  </si>
  <si>
    <t>1 = no, vado a sensazione
3 = traccio le spese principali ma non in modo sistematico
5 = ho un sistema per tracciare le spese e rivedo le mie strategie se necessario</t>
  </si>
  <si>
    <t>Te lo chiediamo perché se non sai dove vanno i soldi, non puoi decidere dove fare tagli o investire.</t>
  </si>
  <si>
    <t>3.5</t>
  </si>
  <si>
    <t>Se domani succedesse un danno serio alla tua attività (allagamento, incendio, furto, danni a un cliente o interruzione forzata) sai se la tua assicurazione coprirebbe le spese principali?</t>
  </si>
  <si>
    <t>1 = non ho un’assicurazione / non ci ho mai pensato
3 = ho un’assicurazione di base, ma non sono sicuro di cosa copra davvero
5 = ho una copertura adeguata e so esattamente cosa copre e cosa non copre</t>
  </si>
  <si>
    <t>Questa domanda serve a capire se, davanti a un danno importante, la tua attività avrebbe una protezione economica oppure se dovresti pagare tutto di tasca tua. Non basta “avere una polizza”: è importante sapere cosa copre davvero.</t>
  </si>
  <si>
    <t xml:space="preserve">Sei in regola con le ultime scadenze fiscali e contributive (IVA, INPS, imposte sul reddito, acconti)? Hai già messo da parte le somme per le prossime?
</t>
  </si>
  <si>
    <t>1 = ho scadenze arretrate o non so dove sono 
3 = sono in regola ma vado in difficoltà spesso vicino alle scadenze 
5 = sono in regola e metto da parte le somme con anticipo</t>
  </si>
  <si>
    <t>Te lo chiediamo perché le tasse arrivano a rate irregolari — e senza tenerle in conto durante l'anno, le scadenze possono trasformarsi in un problema di liquidità anche quando l'attività va bene.</t>
  </si>
  <si>
    <t>4. LA TUA CAPACITÀ DI ADATTARTI</t>
  </si>
  <si>
    <t>Quando le cose cambiano, riesci a riadattarti? Guardi verso altri mercati?</t>
  </si>
  <si>
    <t>4.1</t>
  </si>
  <si>
    <t>Quando noti che i bisogni dei clienti cambiano (per esempio nuove richieste, prodotti meno richiesti o abitudini diverse) riesci ad adattare la tua offerta in modo concreto?</t>
  </si>
  <si>
    <t>1 = no, la mia offerta è sostanzialmente identica da anni e non cambia in base ai segnali dei clienti
3 = ogni tanto cambio qualcosa, ma senza un metodo preciso
5 = adatto regolarmente prodotti, servizi, prezzi o modalità di vendita in base a ciò che osservo dai clienti</t>
  </si>
  <si>
    <t>Non serve cambiare tutto in continuazione. Se negli ultimi sei mesi hai introdotto, eliminato o modificato almeno un prodotto / servizio dopo aver osservato il comportamento dei clienti, probabilmente sei già tra 4 e 5.</t>
  </si>
  <si>
    <t>4.2</t>
  </si>
  <si>
    <t>Se da domani un imprevisto ti impedisse di lavorare normalmente per due settimane (per esempio maltempo, guasto, problemi di salute, blocco dei fornitori o chiusura temporanea) sapresti già cosa fare nei primi giorni?</t>
  </si>
  <si>
    <t>1 = no, improvviserei / non ci ho mai pensato
3 = ho un’idea generale, ma non ho mai verificato se funzionerebbe
5 = ho un piano chiaro: so chi contattare, quali priorità gestire e quali azioni fare subito</t>
  </si>
  <si>
    <t>Te lo chiediamo per capire quanto sei preparato a reagire agli imprevisti. Alluvioni, frane, pandemie, ondate di calore, guasti e ritardi dei fornitori non sono solo ipotesi lontane: possono succedere. Avere un piano non significa prevedere tutto, ma sapere almeno quali sono le prime mosse.</t>
  </si>
  <si>
    <t>4.3</t>
  </si>
  <si>
    <t>Se i tuoi clienti locali/abituali smettessero di venire, hai già altri segmenti (da fuori, dall'estero ecc) con cui lavorare?</t>
  </si>
  <si>
    <t>1 = i miei clienti sono quasi tutti locali, non ho alternativa
3 = ho qualche cliente che viene da fuori. Sto provando a raggiungere nuovi mercati
5 = ho un mix nazionale e internazionale, con offerta adattata a segmenti diversi</t>
  </si>
  <si>
    <t>Diversificare i mercati non significa smettere di servire i locali, ma significa non dipendere esclusivamente da loro.</t>
  </si>
  <si>
    <t>Raccontaci brevemente chi sono i tuoi clienti.</t>
  </si>
  <si>
    <t>4.4</t>
  </si>
  <si>
    <t>Se arrivasse un cliente straniero con un problema da risolvere riusciresti ad aiutarlo e a comunicare con successo?</t>
  </si>
  <si>
    <t>1 = per niente / penso di non averne bisogno
3 = capisco e mi faccio capire, anche se a fatica
5 = padroneggio la lingua e riesco a rispondere alle esigenze dei clienti stranieri</t>
  </si>
  <si>
    <t>Non si tratta di essere fluenti. Si tratta di non perdere un cliente per una barriera che si può abbassare.</t>
  </si>
  <si>
    <t>5. IL TUO SISTEMA</t>
  </si>
  <si>
    <t>Se ti fermi tu, si ferma tutto?</t>
  </si>
  <si>
    <t>5.1</t>
  </si>
  <si>
    <t>Se da domani mattina non potessi occuparti della tua attività per un mese, c’è qualcuno (collaboratore, familiare, socio, persona di fiducia ecc) che saprebbe cosa fare e dove trovare le istruzioni principali?</t>
  </si>
  <si>
    <t>1 = no, senza di me si fermerebbe tutto
3 = qualcuno potrebbe aiutare, ma con difficoltà e senza istruzioni complete
5 = sì, ci sono persone di riferimento e procedure scritte per gestire le attività principali</t>
  </si>
  <si>
    <t>Può bastare una rete minima di persone fidate e istruzioni semplici. Per esempio: chi apre e chiude, chi risponde ai clienti, chi gestisce ordini e pagamenti, dove sono password e documenti essenziali. Se tutto è solo nella tua testa, l’attività è più esposta.</t>
  </si>
  <si>
    <t>5.2</t>
  </si>
  <si>
    <t>Se perdessi il telefono domani, quanto tempo ti costerebbe ritrovare le informazioni che ti servono per lavorare?</t>
  </si>
  <si>
    <t>1 = sarebbe un problema serio è tutto in testa o sul telefono
3 = uso qualche strumento, ma non mi sento organizzato 
5 = uso un sistema digitale strutturato, le informazioni sono accessibili anche in mia assenza</t>
  </si>
  <si>
    <t>Calendari, liste, app, promemoria — contano tutti. Il punto è se funzionano anche quando non ci sei tu.</t>
  </si>
  <si>
    <t>5.3</t>
  </si>
  <si>
    <t>Se qualcuno ti chiedesse come proteggi i dati dei tuoi clienti, sapresti rispondere con precisione?</t>
  </si>
  <si>
    <t xml:space="preserve">1 = non ci ho mai pensato / non penso sia rilevante per la mia attività
3 = uso sistemi di backup e password, cerco di fare attenzione
5 = ho un sistema preciso e so esattamente come tratto i dati </t>
  </si>
  <si>
    <t>Un gruppo WhatsApp con i numeri di tutti i clienti visibili a tutti è già una violazione. Non servono sistemi complicati ma serve consapevolezza.</t>
  </si>
  <si>
    <t>5.4</t>
  </si>
  <si>
    <t>Quanto sei attento alla sostenibilità ambientale nella gestione quotidiana?</t>
  </si>
  <si>
    <t>1 = non ci ho mai pensato / non penso che sia rilevante per la mia attività
3 = mi adeguo alle normative
5 = rispetto pienamente le normative, propongo soluzioni sostenibili aggiuntive e mi tengo aggiornato</t>
  </si>
  <si>
    <t>Il 69% dei consumatori italiani è disposto a spendere di più per prodotti/attività sostenibili. Non è solo etica, è posizionamento.</t>
  </si>
  <si>
    <t>5.5</t>
  </si>
  <si>
    <t>C'è qualcosa nella tua struttura che sai che va sistemato ma che rimandi da tempo?</t>
  </si>
  <si>
    <t>1 = intervengo solo quando qualcosa si rompe
3 = programmo la manutenzione ma non in modo strutturato
5 = ho piano di manutenzione/ristrutturazione a lungo termine e lo seguo</t>
  </si>
  <si>
    <t>Te lo chiediamo perché manutenere significa anche risparmiare e ridurre i costi gestione a breve e lungo termine.</t>
  </si>
  <si>
    <t>6. LA TUA RETE</t>
  </si>
  <si>
    <t>Sei solo, o fai parte di una rete?</t>
  </si>
  <si>
    <t>6.1</t>
  </si>
  <si>
    <t>Hai accordi, anche informali, con altri operatori locali per mandarvi clienti a vicenda?</t>
  </si>
  <si>
    <t>1 = nessuno, lavoro da solo
3 = tre–cinque collaborazioni, principalmente informali 
5 = faccio parte di una rete strutturata con accordi chiari e reciprocità</t>
  </si>
  <si>
    <t>Per esempio, hai degli accordi con altre attività locali (ristoranti, bar, piccoli fornitori ecc)? Sponsorizzi altri prodotti/attività nel territorio?</t>
  </si>
  <si>
    <t>6.2</t>
  </si>
  <si>
    <t>Se chiedessi a tre persone del territorio cosa pensano della tua attività, cosa ti aspetti che risponderebbero?</t>
  </si>
  <si>
    <t>1 = non ho un rapporto con la comunità locale / non mi sento parte del territorio 
3 = la comunità è neutra, non ho né conflitti né legami forti
5 = sono percepito come una risorsa, vengo coinvolto in eventi e progetti locali</t>
  </si>
  <si>
    <t>Te lo chiediamo perché questo conta molto: un buon rapporto con il territorio può portare passaparola, fiducia, clienti ricorrenti, collaborazioni e supporto nei momenti difficili.</t>
  </si>
  <si>
    <t>Raccontaci della tua attività in relazione alla comunità locale</t>
  </si>
  <si>
    <t>6.3</t>
  </si>
  <si>
    <t>Quando un cliente ti chiede dove mangiare, dove comprare, cosa fare ecc hai una risposta pronta, con nomi precisi?</t>
  </si>
  <si>
    <t>1 = no /non ci ho mai pensato
3 = ho qualche consiglio da dare se ci penso
5 = ho un sistema di consigli per diverse esigenze, e gli operatori che consiglio lo sanno</t>
  </si>
  <si>
    <t>Consigliare un ristoratore e dirgli che lo fai è il gesto più semplice per iniziare una rete. E chi riceve un cliente tende a restituirlo.</t>
  </si>
  <si>
    <t>6.4</t>
  </si>
  <si>
    <t>Sai cosa sta succedendo nel tuo territorio (bandi, progetti, decisioni che potrebbero riguardarti) prima che diventi un problema o un'opportunità persa?</t>
  </si>
  <si>
    <t>1 = no, non seguo / non lo ritengo rilevante 
3 = mi tengo aggiornato, a volte partecipo
5 = sono attivo, la mia voce conta nella co-progettazione</t>
  </si>
  <si>
    <t>Chi partecipa è informato in anticipo. Chi non partecipa scopre le cose quando è già troppo tardi.</t>
  </si>
  <si>
    <t>7. IL TUO APPRENDIMENTO</t>
  </si>
  <si>
    <t>Stai imparando e migliorando, o ripeti le stesse cose?</t>
  </si>
  <si>
    <t>7.1</t>
  </si>
  <si>
    <t>Raccogli e usi le opinioni dei clienti (recensioni, commenti, critiche, domande o osservazioni dirette) per capire cosa migliorare nella tua attività?</t>
  </si>
  <si>
    <t>1 = no, non raccolgo o non leggo regolarmente le opinioni dei clienti
3 = le ascolto o le leggo, e ogni tanto ne traggo qualche spunto
5 = raccolgo, osservo e confronto regolarmente i feedback dei clienti, poi li uso per decidere cosa migliorare</t>
  </si>
  <si>
    <t>Le recensioni, anche quelle negative, spesso contengono informazioni preziose e possono diventare un vantaggio rispetto ai concorrenti.</t>
  </si>
  <si>
    <t>7.2</t>
  </si>
  <si>
    <t>Negli ultimi dodici mesi hai provato qualcosa che non avevi mai fatto prima (anche se non ha funzionato come speravi)?</t>
  </si>
  <si>
    <t xml:space="preserve">1 = no faccio le stesse cose da tempo
3 = ho provato a sperimentare qualcosa di nuovo con risultati parziali
5 = sperimento regolarmente. Anche le talvolta questi esperimenti non funzionano mi danno informazioni utili </t>
  </si>
  <si>
    <t>Per esempio, hai provato qualcosa di nuovo (una piattaforma, un servizio, un canale di vendita) che non ha funzionato come speravi, ma hai imparato qualcosa di concreto sulla tua attività? Se questo sei tu, sei a 3.</t>
  </si>
  <si>
    <t>7.3</t>
  </si>
  <si>
    <t>Negli ultimi dodici mesi hai imparato qualcosa di nuovo che hai poi usato davvero?</t>
  </si>
  <si>
    <t>1 = no / non lo ritengo rilevante
3 = sì, ho seguito un corso strutturato / cerco di ternermi aggiornato
5 = la formazione continua (strutturata o meno) e il confronto attivo sono parte integrante della mia attività.</t>
  </si>
  <si>
    <t>Non si parla solo di corsi ufficiali o certificati. Può essere anche qualcosa di pratico: imparare a usare meglio i social, tenersi aggiornati su tendenze e cambiamenti, confrontarsi con altri imprenditori, migliorare una procedura ecc.</t>
  </si>
  <si>
    <t>7.4</t>
  </si>
  <si>
    <t>Sai cosa fa meglio di te il tuo competitor più forte? E come usi queste informazioni?</t>
  </si>
  <si>
    <t>1 = non guardo mai i competitor / non ci ho mai pensato / non ho competitors
3 = ogni tanto guardo le recensioni/profili pubblici per farmi un'idea
5 = analizzo strategie di vendita, recensioni e sviluppi dei miei competitori in maniera regolare e agisco di conseguenza</t>
  </si>
  <si>
    <t>Osservi come si presenta il tuo competitore più forte (foto, recensioni, cosa raccontano di sé)? Non per copiarlo, ma per capire cosa ti rende diverso? Se sì, sei tra 4 e 5.
Se pensi di non avere competitori diretti, hai mai pensato a quelli indiretti?</t>
  </si>
  <si>
    <t>IL TUO PUNTEGGIO COMPLESSIVO</t>
  </si>
  <si>
    <t>C'è qualcos'altro che vorresti dirci?</t>
  </si>
  <si>
    <t>REPORT LOGIC — Selezione automatica testi da Templates</t>
  </si>
  <si>
    <t>Non modificare le formule. I testi vengono dai fogli nascosti (1_Apertura...6_Azioni).</t>
  </si>
  <si>
    <t>A — PUNTEGGI DI RIFERIMENTO</t>
  </si>
  <si>
    <t>Variabile</t>
  </si>
  <si>
    <t>Valore</t>
  </si>
  <si>
    <t>Fonte</t>
  </si>
  <si>
    <t>Punteggio Voce (1-5)</t>
  </si>
  <si>
    <t>F16</t>
  </si>
  <si>
    <t>Punteggio Ricavi (1-5)</t>
  </si>
  <si>
    <t>F26</t>
  </si>
  <si>
    <t>Punteggio Margini (1-5)</t>
  </si>
  <si>
    <t>F35</t>
  </si>
  <si>
    <t>Punteggio Adattabilità (1-5)</t>
  </si>
  <si>
    <t>F42</t>
  </si>
  <si>
    <t>Punteggio Sistema (1-5)</t>
  </si>
  <si>
    <t>F50</t>
  </si>
  <si>
    <t>Punteggio Rete (1-5)</t>
  </si>
  <si>
    <t>F57</t>
  </si>
  <si>
    <t>Punteggio Apprendimento (1-5)</t>
  </si>
  <si>
    <t>F64</t>
  </si>
  <si>
    <t>Punteggio Complessivo (1-5)</t>
  </si>
  <si>
    <t>F66</t>
  </si>
  <si>
    <t>Media CARATTERE (Aree 1,6,7)</t>
  </si>
  <si>
    <t>media F16,F57,F64</t>
  </si>
  <si>
    <t>Media RISCHIO (Aree 2,3,4,5)</t>
  </si>
  <si>
    <t>media F26,F35,F42,F50</t>
  </si>
  <si>
    <t>Indicatore Identità</t>
  </si>
  <si>
    <t>(F13+F14+F15+F54*0.5)/3.5</t>
  </si>
  <si>
    <t>Indicatore Tenuta dell'attività</t>
  </si>
  <si>
    <t>(F26+F35)/2</t>
  </si>
  <si>
    <t>Indicatore Liquidità</t>
  </si>
  <si>
    <t>F21 = domanda 2.3</t>
  </si>
  <si>
    <t>Indicatore Resilienza operativa</t>
  </si>
  <si>
    <t>(F45+F48*0.5+F49+F53+F54+F55*0.5+F56)/6</t>
  </si>
  <si>
    <t>Indicatore Preparazione digitale</t>
  </si>
  <si>
    <t>(F46+F47+F60*0.5+F23*0.5+F25*0.5)/3.5</t>
  </si>
  <si>
    <t>Indicatore Regole, sicurezza e assicurazioni</t>
  </si>
  <si>
    <t>(F30+F33+F34+F47)/4</t>
  </si>
  <si>
    <t>Indicatore Capacità di evoluzione</t>
  </si>
  <si>
    <t>(F42+F64)/2</t>
  </si>
  <si>
    <t>Percezione Voce (1-5)</t>
  </si>
  <si>
    <t>C8</t>
  </si>
  <si>
    <t>Percezione Ricavi (1-5)</t>
  </si>
  <si>
    <t>C10</t>
  </si>
  <si>
    <t>Percezione Margini (1-5)</t>
  </si>
  <si>
    <t>C12</t>
  </si>
  <si>
    <t>Percezione Adattabilità (1-5)</t>
  </si>
  <si>
    <t>C14</t>
  </si>
  <si>
    <t>Percezione Sistema (1-5)</t>
  </si>
  <si>
    <t>C16</t>
  </si>
  <si>
    <t>Percezione Rete (1-5)</t>
  </si>
  <si>
    <t>C18</t>
  </si>
  <si>
    <t>Percezione Apprendimento (1-5)</t>
  </si>
  <si>
    <t>C20</t>
  </si>
  <si>
    <t>Logica: P1(Char≥3.5,Ris≥3.5)→P2(Char≥3.5,Ris&lt;2.5)→P3(Char&lt;2.5,Ris≥3.5)→P5(Gen≥3.0,1area&lt;2.0)→P6(Gen&lt;2.5)→P4</t>
  </si>
  <si>
    <t>B — APERTURA  |  Profilo selezionato automaticamente</t>
  </si>
  <si>
    <t>Profilo</t>
  </si>
  <si>
    <t>Condizione</t>
  </si>
  <si>
    <t>Testo</t>
  </si>
  <si>
    <t>Profilo selezionato</t>
  </si>
  <si>
    <t>C — LE 7 AREE  |  Livelli: ≤2.25 Vulnerabile / &lt;3 In costruzione / &lt;3.5 Sufficiente / &lt;4 Solido / ≤5 Forte</t>
  </si>
  <si>
    <t>Area</t>
  </si>
  <si>
    <t>Livello attivo</t>
  </si>
  <si>
    <t>1. La tua voce</t>
  </si>
  <si>
    <t>2. I tuoi ricavi</t>
  </si>
  <si>
    <t>3. I tuoi margini</t>
  </si>
  <si>
    <t>4. La tua adattabilità</t>
  </si>
  <si>
    <t>5. Il tuo sistema</t>
  </si>
  <si>
    <t>6. La tua rete</t>
  </si>
  <si>
    <t>7. Il tuo apprendimento</t>
  </si>
  <si>
    <t>D — INDICATORI DI CONTROLLO  |  7 gate non compensativi  |  Livelli: ≤1.5 Fragile / ≤2.5 Vulnerabile / &gt;2.5 Adeguata / &gt;3.5 Solida</t>
  </si>
  <si>
    <t>Indicatore</t>
  </si>
  <si>
    <t>Punteggio</t>
  </si>
  <si>
    <t>Livello</t>
  </si>
  <si>
    <t>Gate</t>
  </si>
  <si>
    <t>Identità</t>
  </si>
  <si>
    <t>Tenuta dell'attività</t>
  </si>
  <si>
    <t>Liquidità</t>
  </si>
  <si>
    <t>Resilienza operativa</t>
  </si>
  <si>
    <t>Digital Readiness</t>
  </si>
  <si>
    <t>Compliance e protezione</t>
  </si>
  <si>
    <t>Capacità di evoluzione</t>
  </si>
  <si>
    <t>E — PERCEZIONE E ANALISI  |  Attivato se |gap| ≥ 1.5
Gap = Analisi − Percezione. Negativo = ti sentivi meglio. Positivo = stavi sottovalutando.</t>
  </si>
  <si>
    <t>Gap e direzione</t>
  </si>
  <si>
    <t>F — AZIONI PRIORITARIE  |  ★ = corrisponde a obiettivi/preoccupazione dichiarati in Blocchi 2+3</t>
  </si>
  <si>
    <t>★ Priorità</t>
  </si>
  <si>
    <t>Azione</t>
  </si>
  <si>
    <t>G — CHIUSURA  |  Paragrafo finale automatico</t>
  </si>
  <si>
    <t>Versione</t>
  </si>
  <si>
    <t>Paragrafo finale contestuale</t>
  </si>
  <si>
    <t>IF(MediaRischio&lt;3 → rischio, altrimenti carattere)</t>
  </si>
  <si>
    <t>CTA finale (fissa)</t>
  </si>
  <si>
    <t>Queste azioni puoi farle da solo — e questo documento ti dice esattamente da dove partire. Se vuoi un percorso su misura — con qualcuno che legge la tua situazione specifica, costruisce un piano concreto e ti accompagna mentre lo realizzi — contattaci. Chi si impegna in un percorso di consulenza personalizzata o in un prodotto Alva Growth entro 14 giorni dal ricevimento di questo report avrà uno sconto del 20% sul prezzo intero.</t>
  </si>
  <si>
    <t>H — PRIMA DI INIZIARE  |  Blocchi 2+3 — Obiettivi e preoccupazione dichiarati</t>
  </si>
  <si>
    <t>Obiettivo 1 dichiarato</t>
  </si>
  <si>
    <t>(non compilato)</t>
  </si>
  <si>
    <t>Obiettivo 2 dichiarato</t>
  </si>
  <si>
    <t>Obiettivo 3 dichiarato</t>
  </si>
  <si>
    <t>Preoccupazione principale</t>
  </si>
  <si>
    <t>Logica ordinamento azioni</t>
  </si>
  <si>
    <t>Le aree con ★ nella sezione F corrispondono agli obiettivi/preoccupazione dichiarati e vengono presentate PRIME nel report, prima delle altre aree per punteggio.</t>
  </si>
  <si>
    <t>NOTA</t>
  </si>
  <si>
    <t>I fogli 1_Apertura, 2_Le7Aree, 3_Subindici, 4_PercAnalisi, 5_RischioInerzia, 6_Azioni sono nascosti. Per modificare i testi mostra il foglio, modifica col C, nascondilo di nuovo.</t>
  </si>
  <si>
    <t>1  ·  I TUOI RISULTATI</t>
  </si>
  <si>
    <t>AREA</t>
  </si>
  <si>
    <t>PUNTEGGIO (1-5)</t>
  </si>
  <si>
    <t>STATO</t>
  </si>
  <si>
    <t>DIAGNOSI (dal livello raggiunto)</t>
  </si>
  <si>
    <t>PUNTEGGIO COMPLESSIVO</t>
  </si>
  <si>
    <t>2  ·  INDICATORI DI CONTROLLO</t>
  </si>
  <si>
    <t>INDICATORE</t>
  </si>
  <si>
    <t>Punteggio (1-5)</t>
  </si>
  <si>
    <t>PRIORITÀ</t>
  </si>
  <si>
    <t>LIVELLO</t>
  </si>
  <si>
    <t>TESTO DIAGNOSTICO</t>
  </si>
  <si>
    <t>Sopravvivenza</t>
  </si>
  <si>
    <t>3  ·  VARIAZIONE TRA PERCEZIONE E ANALISI  ·  Attivato se |gap| ≥ 1.5</t>
  </si>
  <si>
    <t>TU (1-5)</t>
  </si>
  <si>
    <t>ANALISI (1-5)</t>
  </si>
  <si>
    <t>GAP</t>
  </si>
  <si>
    <t>TESTO (se |gap| ≥ 1.5)</t>
  </si>
  <si>
    <t>4  ·  COSA RISCHI SE NON INTERVIENI  ·  Soglie: ≤2.25 / &lt;3 / &lt;3.5 / &lt;4 / ≤5</t>
  </si>
  <si>
    <t>TESTO (da 5_RischioInerzia, banda attiva)</t>
  </si>
  <si>
    <t>5  ·  AZIONI PRIORITARIE  ·  Ordinate per urgenza  ·  Dalla sezione 6_Azioni</t>
  </si>
  <si>
    <t>PUNTEGGIO</t>
  </si>
  <si>
    <t>Cod. prodotto</t>
  </si>
  <si>
    <t>Trigger</t>
  </si>
  <si>
    <t>Punteggio soglia</t>
  </si>
  <si>
    <t>Prodotto suggerito</t>
  </si>
  <si>
    <t>Messaggio suggerito</t>
  </si>
  <si>
    <t>2.5 — Hai un sito/pagina tua?</t>
  </si>
  <si>
    <t>F2.1</t>
  </si>
  <si>
    <t>Punteggio ≤ 2</t>
  </si>
  <si>
    <t>≤2</t>
  </si>
  <si>
    <t>alva.travel</t>
  </si>
  <si>
    <t>Non hai ancora un canale diretto. alva.travel ti dà una pagina tua e visibilità nei territori Alva — senza costruire niente da zero.</t>
  </si>
  <si>
    <t>2.6 — % ricavi diretti</t>
  </si>
  <si>
    <t>F2.2</t>
  </si>
  <si>
    <t>Dipendi quasi completamente dagli intermediari. Con alva.travel puoi iniziare a costruire prenotazioni dirette.</t>
  </si>
  <si>
    <t>2.7 — Elenco clienti da ricontattare</t>
  </si>
  <si>
    <t>F2.3</t>
  </si>
  <si>
    <t>Alva Assistant</t>
  </si>
  <si>
    <t>Non hai un sistema per ricontattare i tuoi clienti. Alva Assistant ti aiuta a costruire e usare una lista clienti in modo semplice.</t>
  </si>
  <si>
    <t>5.2 — Strumenti per gestire l'attività</t>
  </si>
  <si>
    <t>F5.1</t>
  </si>
  <si>
    <t>Gestisci tutto a memoria o su carta. Alva Assistant (Host o Manager) ti aiuta a digitalizzare le operazioni senza complessità.</t>
  </si>
  <si>
    <t>5.3 — Dati clienti al sicuro?</t>
  </si>
  <si>
    <t>F5.4</t>
  </si>
  <si>
    <t>I dati dei tuoi clienti non sono protetti. Alva Assistant include backup e gestione sicura dei contatti.</t>
  </si>
  <si>
    <t>6.3 — Consigli ai clienti sul territorio</t>
  </si>
  <si>
    <t>F6.3</t>
  </si>
  <si>
    <t>Non hai ancora un sistema per orientare i tuoi ospiti sul territorio. alva.travel ti dà strumenti per farlo e ti connette agli altri operatori locali.</t>
  </si>
  <si>
    <t>6.1 — Collaborazioni con operatori</t>
  </si>
  <si>
    <t>F6.1</t>
  </si>
  <si>
    <t>Lavori da solo. La rete alva.travel connette operatori locali che collaborano attivamente.</t>
  </si>
  <si>
    <t>Punteggio F7 &lt; 2.5 (apprendimento debole)</t>
  </si>
  <si>
    <t>F7</t>
  </si>
  <si>
    <t>Media F7 &lt;2.5</t>
  </si>
  <si>
    <t>&lt;2.5</t>
  </si>
  <si>
    <t>Consulenza personalizzata</t>
  </si>
  <si>
    <t>Il tuo business ha bisogno di un percorso strutturato. Possiamo aiutarti con una consulenza su misura.</t>
  </si>
  <si>
    <t>Punteggio F4 &lt; 2 (adattabilità bassa)</t>
  </si>
  <si>
    <t>F4</t>
  </si>
  <si>
    <t>Media F4 &lt;2</t>
  </si>
  <si>
    <t>&lt;2</t>
  </si>
  <si>
    <t>La tua capacità di adattamento è bassa. Un piano personalizzato può aiutarti a costruire resilienza.</t>
  </si>
  <si>
    <t>Punteggio complessivo &lt; 2 (fragile)</t>
  </si>
  <si>
    <t>FAI</t>
  </si>
  <si>
    <t>Punteggio tot &lt;2</t>
  </si>
  <si>
    <t>Il tuo punteggio complessivo indica fragilità strutturale. Una consulenza personalizzata può costruire un piano d'azione concreto.</t>
  </si>
  <si>
    <t>Punteggio complessivo ≥ 2.5 (solido)</t>
  </si>
  <si>
    <t>Punteggio tot ≥2.5</t>
  </si>
  <si>
    <t>≥2.5</t>
  </si>
  <si>
    <t>RAI Microimprese / Alva Growth Scan</t>
  </si>
  <si>
    <t>Hai basi solide. Il prossimo passo è misurare il tuo contributo rigenerativo al territorio con il RAI Microimprese.</t>
  </si>
  <si>
    <t>Indicatore Sopravvivenza KO (&lt;1.5)</t>
  </si>
  <si>
    <t>F1+F3</t>
  </si>
  <si>
    <t>Sopravvivenza &lt;1.5</t>
  </si>
  <si>
    <t>&lt;1.5</t>
  </si>
  <si>
    <t>Emergenza: le fondamenta del business sono a rischio. Una consulenza urgente può aiutarti a stabilizzare la situazione.</t>
  </si>
  <si>
    <t>SEZIONE 1 — APERTURA  |  6 profili parametrici</t>
  </si>
  <si>
    <t>Carattere (media aree 1,6,7)</t>
  </si>
  <si>
    <t>Rischio (media aree 2,3,4,5)</t>
  </si>
  <si>
    <t>Testo paragrafo</t>
  </si>
  <si>
    <t>L'algoritmo calcola le due medie e seleziona il profilo corrispondente. Il testo viene inserito senza titolo come primo paragrafo del report.</t>
  </si>
  <si>
    <t>Profilo 1 — Sa chi è e regge</t>
  </si>
  <si>
    <t>≥ 3.5</t>
  </si>
  <si>
    <t>Hai costruito qualcosa di solido — nel senso più concreto del termine. La tua attività ha un'identità riconoscibile, radici nel territorio, e fondamenta economiche che reggono quando qualcosa cambia. Non è una combinazione comune: molte imprese hanno l'una o l'altra cosa, raramente tutte e due insieme. Quello che emerge dall'analisi non è una lista di problemi da risolvere — è una mappa di quello che vale la pena proteggere e di dove c'è ancora spazio per crescere senza snaturare quello che hai costruito.</t>
  </si>
  <si>
    <t>Profilo 2 — Sa chi è ma è esposta</t>
  </si>
  <si>
    <t>&lt; 2.5</t>
  </si>
  <si>
    <t>La tua attività ha un'identità chiara e radici reali nel territorio. Sai chi sei, i clienti ti riconoscono, e quello che fai ha un senso preciso nel contesto in cui operi. Questa è la parte solida. La fragilità sta altrove — nei numeri, nella struttura, nella capacità di reggere uno shock esterno. Chi ha investito molto nell'identità e nelle relazioni spesso ha trascurato le fondamenta operative — non perché non importino, ma perché il tempo non è infinito. Adesso è il momento di lavorarci, partendo da quello che già regge.</t>
  </si>
  <si>
    <t>Profilo 3 — Regge ma non sa chi è</t>
  </si>
  <si>
    <t>La tua attività è più solida di quanto sembri dall'esterno. I numeri reggono, il sistema funziona, hai una capacità di adattamento reale. Queste sono fondamenta serie, costruite nel tempo con lavoro concreto. Quello che manca non è la solidità — è la visibilità di quella solidità. Chi non ti conosce ancora fatica a capire perché sceglierti. Lavorare sulla voce e sulle radici non significa cambiare quello che sei — significa renderlo riconoscibile anche a chi non ti ha ancora trovato.</t>
  </si>
  <si>
    <t>Profilo 4 — In costruzione</t>
  </si>
  <si>
    <t>2.5–3.4</t>
  </si>
  <si>
    <t>La tua attività è in una fase di costruzione — non nel senso che manca qualcosa di fondamentale, ma nel senso che molte cose sono ancora in divenire. C'è una direzione, c'è un'identità che si sta definendo, ci sono fondamenta che reggono il quotidiano. Ma c'è anche una fragilità diffusa che emerge quando le cose si complicano. Questa è la fase in cui le decisioni pesano di più — perché definiscono la struttura su cui tutto il resto si costruirà. Non serve fare tutto insieme: serve capire da dove iniziare, e procedere con metodo.</t>
  </si>
  <si>
    <t>Profilo 5 — Forte, un'area critica</t>
  </si>
  <si>
    <t>≥ 3.0 gen</t>
  </si>
  <si>
    <t>1+ area &lt; 2.0</t>
  </si>
  <si>
    <t>Nel complesso la tua attività è solida — con un'eccezione che vale la pena non sottovalutare. C'è un'area specifica che pesa in modo sproporzionato rispetto al resto: non perché le altre siano deboli, ma perché quella fragilità può destabilizzare quello che funziona intorno a lei. Il vantaggio di questa situazione è la chiarezza: non c'è bisogno di rivedere tutto. C'è bisogno di lavorare su un punto preciso, con la consapevolezza che il resto regge e supporta quel lavoro.</t>
  </si>
  <si>
    <t>Profilo 6 — Fragilità strutturale</t>
  </si>
  <si>
    <t>&lt; 2.5 gen</t>
  </si>
  <si>
    <t>L'analisi restituisce un quadro che richiede attenzione su più fronti. Non è una situazione irreversibile — è una situazione in cui le fragilità si sono accumulate nel tempo senza che ci fosse mai il momento giusto per affrontarle una per una. Il rischio principale non è un singolo problema: è la combinazione di più fragilità che si rinforzano a vicenda. Affrontarle tutte insieme non è possibile né necessario. Quello che serve è identificare il punto di partenza giusto — quello che, risolto, alleggerisce anche il peso degli altri — e iniziare da lì con metodo.</t>
  </si>
  <si>
    <t>SEZIONE 2 — LE 7 AREE  |  7 aree × 5 livelli  |  Scala 1–5</t>
  </si>
  <si>
    <t>Livello (media 1–5)</t>
  </si>
  <si>
    <t>Livelli: ≤2.25 (Vulnerabile) | &lt;3.00 (In costruzione) | &lt;3.50 (Sufficiente) | &lt;4.00 (Solido) | ≤5.00 (Forte)</t>
  </si>
  <si>
    <t>≤2.25</t>
  </si>
  <si>
    <t>Chi non ti conosce ancora fatica a capire perché sceglierti rispetto a un'alternativa simile. Non è una questione di qualità — è una questione di visibilità di quella qualità. Chi non sa perché sceglierti tende a decidere in base al prezzo o alla posizione: i due criteri su cui è più difficile competere per una piccola impresa. La tua storia esiste — non è ancora stata trovata e raccontata nel modo che le appartiene.</t>
  </si>
  <si>
    <t>&lt;3.00</t>
  </si>
  <si>
    <t>Hai qualcosa da raccontare, ma non arriva ancora con la coerenza che meriterebbe. Chi entra in contatto con la tua attività percepisce che c'è qualcosa di autentico, ma fatica a capire esattamente cosa ti distingue. I clienti giusti arrivano, spesso per caso più che per scelta deliberata. Non serve una strategia di comunicazione complessa: serve chiarire internamente cosa ti rende diverso e portarlo fuori con più coerenza.</t>
  </si>
  <si>
    <t>&lt;3.50</t>
  </si>
  <si>
    <t>Sai chi sei e riesci a dirlo in modo abbastanza chiaro. I tuoi clienti capiscono cosa offri e perché sceglierti. Non è ancora la voce forte e riconoscibile che lavora per te anche quando non ci sei — ma è una base solida su cui costruire. Il lavoro adesso è la coerenza: stesso messaggio su ogni canale, stesso tono in ogni interazione.</t>
  </si>
  <si>
    <t>&lt;4.00</t>
  </si>
  <si>
    <t>Sai chi sei e lo comunichi con precisione. I tuoi clienti ti scelgono per quello che sei — non solo per dove sei o per quanto costi. Questa chiarezza è rara e vale più di qualsiasi strumento di marketing. L'unica cosa su cui restare attenti è la coerenza nel tempo: una voce chiara può diventare inconsistente gradualmente se non viene curata e aggiornata quando l'offerta evolve.</t>
  </si>
  <si>
    <t>≤5.00</t>
  </si>
  <si>
    <t>Sai chi sei e lo comunichi con precisione in ogni punto di contatto. I tuoi clienti ti scelgono consapevolmente e sanno spiegarlo. Questo posizionamento ti mette in una condizione strutturalmente vantaggiosa: non competi solo sul prezzo o sulla posizione, ma sul valore che solo tu puoi offrire. Continua a coltivare questa voce, tienila coerente e documentala in modo che regga anche quando l'attività cresce o cambia.</t>
  </si>
  <si>
    <t>I tuoi ricavi hanno una fragilità che richiede attenzione prioritaria. La causa più comune di chiusura delle piccole imprese non è la mancanza di clienti — è la liquidità. Se i ricavi si azzerassero oggi, quanto potresti andare avanti? La dipendenza da un canale solo, da un periodo dell'anno solo, o l'assenza di riserve: ognuno è gestibile da solo. Insieme diventano un rischio strutturale.</t>
  </si>
  <si>
    <t>C'è qualcosa che funziona nei tuoi ricavi, ma c'è anche un'esposizione che probabilmente non percepisci nella sua interezza. Non è una crisi: è una fragilità silenziosa che si manifesta quando arriva uno shock esterno. Non serve rivoluzionare tutto — serve identificare il punto di maggiore concentrazione e costruire almeno un'alternativa concreta, che sia un secondo canale, un periodo dell'anno che oggi non copri, o una riserva minima.</t>
  </si>
  <si>
    <t>Hai una base di ricavi che regge il quotidiano e tiene discretamente agli shock stagionali. Non c'è ancora la diversificazione piena che permetterebbe di affrontare una crisi prolungata senza pressione, ma la struttura funziona. Il lavoro adesso è consolidarla: ridurre la concentrazione nei mesi o canali più forti e costruire prevedibilità sui flussi.</t>
  </si>
  <si>
    <t>I tuoi ricavi sono costruiti su basi solide. Hai diversificato abbastanza da reggere un momento difficile senza andare in crisi. Resta attento alla stagionalità e all'evoluzione dei canali: anche quando i ricavi reggono bene, la dipendenza da pochi mesi o da pochi intermediari crea vulnerabilità che non si vedono finché non si manifestano.</t>
  </si>
  <si>
    <t>I tuoi ricavi sono solidi, diversificati e distribuiti nell'anno. Hai più canali attivi, riserve adeguate e una struttura che ti protegge dagli shock stagionali e dalle variazioni di singoli canali. Hai già fatto il lavoro più difficile — costruire resilienza prima che fosse necessaria. Il passo successivo è ottimizzare il mix e sviluppare flussi ricorrenti che non dipendano dall'acquisizione continua di nuovi clienti.</t>
  </si>
  <si>
    <t>C'è una zona d'ombra sui tuoi numeri che vale la pena illuminare. Non sapere con precisione quanto resta dopo tutte le spese — incluso il valore del tuo lavoro — significa prendere decisioni importanti senza le informazioni che servono. Il rischio concreto è duplice: lavorare in perdita senza saperlo, e trovarsi impreparati davanti a un cambiamento normativo o fiscale.</t>
  </si>
  <si>
    <t>Hai una conoscenza parziale dei tuoi numeri. Il rischio specifico è lavorare a un margine più basso di quello che percepisci — non perché i ricavi manchino, ma perché alcune spese non vengono conteggiate o vengono sottostimate. Il costo del proprio tempo è il primo a sparire dal calcolo: se non lo includi, il margine che vedi non è quello reale.</t>
  </si>
  <si>
    <t>Tieni i tuoi numeri abbastanza sotto controllo da sapere dove stai. Non hai ancora la granularità che permetterebbe di ottimizzare il pricing per linea o per cliente, ma sai quando qualcosa non torna e riesci a correggere. Il passo successivo è strutturare il tracciamento in modo da avere una lettura mensile precisa, non solo una sensazione.</t>
  </si>
  <si>
    <t>Sai dove vanno i soldi. Conosci il margine reale, tieni traccia delle spese, sei sostanzialmente in regola. Questo è più raro di quanto sembri tra le micro-imprese. La solidità su quest'area ti permette di prendere decisioni consapevoli — su dove tagliare, dove investire, dove il lavoro non si traduce ancora in margine adeguato.</t>
  </si>
  <si>
    <t>Hai una visione chiara e precisa dei tuoi numeri. Conosci il margine reale per linea e per cliente, la compliance è a posto e usi i dati per prendere decisioni. Questo ti dà un vantaggio strutturale rispetto a chi va a sensazione. Il passo successivo è usare questa chiarezza per ottimizzare il pricing, migliorare il mix di offerta e reinvestire in crescita con piena consapevolezza del rendimento atteso.</t>
  </si>
  <si>
    <t>La tua attività è esposta ai cambiamenti più di quanto sarebbe necessario. Non perché manchino le competenze — ma perché in questo momento non ci sono ancora gli strumenti per intercettare i segnali in anticipo e rispondere con metodo. La dipendenza da un mercato solo e l'assenza di un piano per gli imprevisti sono i due rischi più concreti da affrontare.</t>
  </si>
  <si>
    <t>C'è una capacità di adattamento nella tua attività, ma tende ad attivarsi quando la pressione è già alta, non prima. Rispondi ai cambiamenti più che anticiparli. Il problema più comune a questo livello non è la mancanza di flessibilità — è la mancanza di struttura per guardarsi intorno con regolarità. Anche un'ora alla settimana dedicata a osservare cosa cambia può fare una differenza concreta.</t>
  </si>
  <si>
    <t>Riesci ad adattarti quando è necessario e hai qualche offerta per segmenti o periodi diversi da quelli principali. Non è ancora la diversificazione strutturata che permette di attraversare uno shock senza perdita significativa, ma la flessibilità c'è. Il lavoro adesso è renderla meno dipendente dal momento di pressione e più parte di come l'attività funziona ordinariamente.</t>
  </si>
  <si>
    <t>Quando le cose cambiano, cambi anche tu. Hai dimostrato di saper ascoltare i clienti e tradurre quello che senti in decisioni concrete. Questa capacità è uno degli asset più difficili da costruire. Continua a coltivare la diversità dei mercati e mantieni attivi più segmenti in parallelo: è quello che trasforma una buona capacità di adattamento in resilienza strutturale.</t>
  </si>
  <si>
    <t>Hai una capacità di adattamento attiva e strutturata. Anticipi i cambiamenti, servi mercati diversi, hai piani per gli imprevisti. Sei nella posizione in cui la volatilità del contesto non è solo un rischio — può diventare un vantaggio competitivo rispetto a chi non è attrezzato. Il lavoro adesso è mantenere la disciplina dell'osservazione sistematica anche quando tutto va bene.</t>
  </si>
  <si>
    <t>In questo momento la tua attività e la tua presenza coincidono quasi completamente. Se ti fermi, si ferma tutto. Questo non è un problema di efficienza: è un rischio strutturale. Le tre aree più critiche a questo livello sono la dipendenza personale (nessuno sa fare quello che sai fare tu), la gestione e protezione dei dati, e l'assenza di procedure scritte per i processi più critici.</t>
  </si>
  <si>
    <t>La tua attività funziona — ma funziona soprattutto perché ci sei tu. Se ti fermassi per due settimane, qualcosa si incepperebbe. Il sistema regge il ritmo normale, ma non regge gli imprevisti. Ogni piccolo passo verso la delega — scrivere una procedura, formare qualcuno su un compito critico, fare un backup automatico — riduce la fragilità complessiva in modo significativo.</t>
  </si>
  <si>
    <t>Hai le basi di un sistema che può funzionare anche senza di te per periodi brevi. Ci sono alcune procedure, alcuni strumenti, qualcuno che conosce almeno parte del funzionamento. Non è ancora abbastanza per un'assenza prolungata o un imprevisto serio, ma la direzione è quella giusta. Il lavoro è completare la copertura: identificare le lacune critiche e colmarle una alla volta.</t>
  </si>
  <si>
    <t>La tua attività non dipende solo da te. Hai strumenti che funzionano, procedure che reggono anche quando non ci sei, e una gestione dei dati che non ti espone a rischi inutili. Questo è il tipo di solidità che non si vede dall'esterno ma che si sente ogni volta che qualcosa va storto. Vale la pena continuare a investirci anche quando non sembra urgente.</t>
  </si>
  <si>
    <t>Hai un sistema solido e delegabile. Le procedure ci sono, gli strumenti funzionano, i dati sono protetti. Sei nella posizione in cui un'assenza improvvisa non mette a rischio l'attività. Il passo successivo è evolvere verso un sistema che non solo regge senza di te, ma che raccoglie dati, segnala anomalie e si aggiorna in modo strutturato nel tempo.</t>
  </si>
  <si>
    <t>6. Le tue radici</t>
  </si>
  <si>
    <t>In questo momento stai lavorando in modo sostanzialmente isolato. L'isolamento ha un costo che non sempre si vede: opportunità che non arrivano, problemi che si affrontano da soli, risorse del territorio che non vengono intercettate. Per una piccola impresa in un'area come la tua, la rete locale non è un optional — è un moltiplicatore. Un referral attivo con tre operatori vicini può valere più di un anno di campagne promozionali.</t>
  </si>
  <si>
    <t>Hai alcune connessioni con il territorio, ma non ancora una rete strutturata su cui poter contare quando serve. Le relazioni che esistono restano informali e asimmetriche: si manda qualche cliente ogni tanto, si collabora se capita. Rendere queste relazioni un po' più strutturate — anche solo con un accordo verbale chiaro su chi manda cosa a chi — cambia il valore che quella rete può generare.</t>
  </si>
  <si>
    <t>Sei presente nel territorio e hai relazioni che generano un certo valore. Non è ancora la rete densa e reciproca che funziona anche quando non sei tu a spingere, ma sei riconoscibile e ci sono collaborazioni attive. Il lavoro adesso è consolidare: da relazioni informali ad accordi espliciti, da presenza occasionale a presenza riconoscibile.</t>
  </si>
  <si>
    <t>Sei parte del territorio in cui lavori — non solo geograficamente, ma nella sostanza. Hai relazioni con altri operatori, la comunità ti riconosce. Questo tipo di radicamento è uno degli asset più difficili da costruire e più difficili da replicare. Le reti si mantengono con la presenza e la reciprocità: vale la pena continuare a investirci in modo attivo.</t>
  </si>
  <si>
    <t>Sei un punto di riferimento del territorio. Le relazioni che hai costruito generano valore in modo sempre più autonomo — clienti che arrivano per referral, informazioni che circolano, opportunità che vengono a te prima che tu le cerchi. Il passo successivo è strutturare questo vantaggio in modo che sia ancora più solido e meno dipendente dalla tua presenza diretta.</t>
  </si>
  <si>
    <t>In questo momento la tua attività si muove principalmente sulla base dell'esperienza accumulata — che è una risorsa preziosa, ma che da sola non basta a intercettare quello che sta cambiando intorno. Chi non ha un canale attivo per raccogliere segnali tende a scoprirli in ritardo, quando il margine di manovra si è già ridotto.</t>
  </si>
  <si>
    <t>C'è una curiosità nella tua attività, ma l'apprendimento tende a essere episodico più che sistematico. Succede quando c'è tempo, quando capita un'occasione. Anche una sola abitudine piccola e regolare — leggere le ultime recensioni una volta al mese, visitare un competitor ogni trimestre — cambia la qualità delle decisioni nel tempo senza richiedere un investimento significativo.</t>
  </si>
  <si>
    <t>Impari in modo abbastanza regolare e le informazioni che raccogli influenzano le tue decisioni. Non è ancora un ciclo strutturato in cui ogni osservazione produce un'azione misurabile, ma la curiosità c'è e si traduce in cambiamenti concreti. Il lavoro adesso è rendere questo processo più deliberato: tracciare quello che sperimenti e misurare cosa cambia.</t>
  </si>
  <si>
    <t>Stai imparando in modo attivo, non per caso. Ascolti i clienti con metodo, ti confronti con chi fa cose simili, sperimenti senza aspettare che sia strettamente necessario. L'unica cosa su cui restare attenti è la qualità dell'apprendimento rispetto alla quantità: un corso seguito o un evento partecipato vale se produce almeno un'azione diversa da prima.</t>
  </si>
  <si>
    <t>Hai una cultura dell'apprendimento attiva e strutturata. Ogni ciclo cambia qualcosa in base a quello che hai osservato, testato, imparato. Sei nella posizione in cui non stai solo reagendo al mercato — stai contribuendo a interpretarlo. Il passo successivo è rendere questo processo ancora più sistematico e condividerlo con chi lavora con te.</t>
  </si>
  <si>
    <t>SEZIONE 3 — SUB-INDICI  |  7 sub-indici × 4 livelli  |  Scala 1–5</t>
  </si>
  <si>
    <t>Sub-indice</t>
  </si>
  <si>
    <t>Livelli:  ≤1.5 (Fragile)  ≤2.5 (Vulnerabile)  &gt;2.5 (Adeguata)  &gt;3.5 (Solida)</t>
  </si>
  <si>
    <t>≤1.5 (Fragile)</t>
  </si>
  <si>
    <t>Il tuo posizionamento è sotto la soglia critica. In questo momento chi non ti conosce non riesce a capire perché dovrebbe sceglierti — e in assenza di un motivo chiaro, tende a decidere in base al prezzo o alla posizione. Non si tratta di fare comunicazione: si tratta di capire, prima di tutto internamente, cosa ti rende diverso in modo autentico e riproducibile. Finché questa chiarezza non c'è, ogni investimento in marketing costruisce su fondamenta instabili. Il punto di partenza non è uno strumento — è una conversazione onesta con te stesso su quello che fa davvero la differenza per i tuoi clienti migliori.</t>
  </si>
  <si>
    <t>≤2.5 (Vulnerabile)</t>
  </si>
  <si>
    <t>Il tuo posizionamento è parziale: c'è qualcosa da raccontare, ma non emerge ancora con la coerenza e la chiarezza che servono. I clienti giusti arrivano, ma spesso per caso o per canali che non controlli. L'identità esiste — non è ancora stata trovata e comunicata nel modo che le appartiene. Non serve costruire qualcosa di nuovo da zero: serve mettere a fuoco quello che già c'è e renderlo riconoscibile in modo coerente su ogni punto di contatto, dal sito alle recensioni, dall'esperienza fisica alla risposta ai messaggi.</t>
  </si>
  <si>
    <t>&gt;2.5 (Adeguata)</t>
  </si>
  <si>
    <t>Il tuo posizionamento è solido. Sai chi sei, i tuoi clienti lo riconoscono e la tua storia viene comunicata con una certa coerenza. Questo è un asset reale: un'identità chiara riduce la pressione sul prezzo, attrae i clienti giusti e genera fedeltà nel tempo. Il rischio a questo livello è la deriva graduale — un'identità che non viene curata con regolarità tende ad affievolirsi quando l'attività cresce o cambia. Vale la pena presidiare la coerenza su tutti i punti di contatto e assicurarsi che chi lavora con te sappia raccontare la stessa storia.</t>
  </si>
  <si>
    <t>&gt;3.5 (Solida)</t>
  </si>
  <si>
    <t>Il tuo posizionamento è forte e riconoscibile. I clienti ti scelgono consapevolmente e sanno spiegarlo: non competi sul prezzo perché il valore che offri è visibile e percepito come unico. Questa è una delle condizioni più difficili da costruire e più facili da perdere se non viene curata. Il lavoro adesso è documentare questo posizionamento in modo che regga nel tempo, si trasferisca a chi lavora con te e possa evolvere senza perdere coerenza. Considera di costruire un archivio di testimonianze e materiali che raccontino la tua storia anche in tua assenza.</t>
  </si>
  <si>
    <t>Il sub-indice di sopravvivenza è sotto la soglia critica. Ricavi, canali e margini sono le fondamenta di qualsiasi attività — senza queste, il resto non conta. La liquidità insufficiente, la dipendenza da un solo canale o segmento e la scarsa conoscenza dei margini reali sono i tre fattori che, combinati, creano il rischio più concreto per la continuità del business. Non si tratta di crescere: si tratta di stabilizzare le fondamenta prima che uno shock esterno — e prima o poi arriva — trovi l'attività impreparata. Questo sub-indice ha un gate KO: è la priorità assoluta rispetto a qualsiasi altra area.</t>
  </si>
  <si>
    <t>Il sub-indice di sopravvivenza indica una fragilità che richiede attenzione. Non è una crisi, ma è una situazione che può deteriorarsi rapidamente se si presenta uno shock esterno — una stagione difficile, un cambiamento su una piattaforma, un adempimento normativo imprevisto. Liquidità, diversificazione dei canali e conoscenza reale dei margini sono sotto pressione: è da qui che conviene iniziare, prima di lavorare su qualsiasi altra area. Un'attività con queste fondamenta incomplete è esposta in modo che non sempre si vede finché non si manifesta.</t>
  </si>
  <si>
    <t>Il sub-indice di sopravvivenza è in territorio positivo. Ricavi, canali e margini reggono il quotidiano con una certa solidità. Ci sono spazi di miglioramento — in particolare sulla prevedibilità dei flussi di cassa, sulla diversificazione dei canali e sulla conoscenza puntuale dei margini per linea — ma la base è sufficientemente solida da permettere di investire energie anche su altri fronti. Continua a monitorare la liquidità con regolarità: è l'indicatore più affidabile di salute operativa.</t>
  </si>
  <si>
    <t>Il sub-indice di sopravvivenza è forte. Ricavi diversificati, canali diretti attivi, margini noti e liquidità adeguata ti mettono in una posizione strutturalmente vantaggiosa rispetto alla maggior parte delle micro-imprese. Hai costruito la base che permette di affrontare uno shock senza andare in crisi e di pensare alla crescita con la solidità necessaria per sostenerla. Il lavoro adesso è ottimizzare il mix, costruire flussi ricorrenti e usare questa stabilità come leva per investire in modo deliberato.</t>
  </si>
  <si>
    <t>Meno di un mese di copertura delle spese fisse. Questo non è un problema di gestione finanziaria — è un'emergenza strutturale. Qualsiasi shock esterno — una settimana lenta, una spesa imprevista, un pagamento in ritardo — può mettere in difficoltà la continuità dell'attività. L'unica priorità adesso è stabilizzare la cassa: ridurre le spese fisse non essenziali, accelerare gli incassi, identificare le voci che si possono posticipare. Ogni altra decisione aspetta che questo indicatore sia fuori dalla zona critica.</t>
  </si>
  <si>
    <t>La copertura attuale è di circa un mese. Non è ancora una crisi, ma il margine è sottile: uno shock di media entità sarebbe sufficiente a creare difficoltà. Il lavoro da fare è sistematico: accantonare ogni mese una percentuale fissa del fatturato, anche piccola, finché la copertura non raggiunge almeno due mesi. Non si tratta di crescita — si tratta di costruire il buffer che permette di gestire l'imprevisto senza andare in debito.</t>
  </si>
  <si>
    <t>Hai due o tre mesi di copertura — un buffer decente che ti dà il tempo di reagire se qualcosa cambia. Il lavoro adesso è mantenerlo e aumentarlo gradualmente: accantonare una quota fissa ogni mese e non toccarla se non in caso di vera emergenza. L'obiettivo è arrivare a tre o più mesi, che è il livello che permette di affrontare una stagione difficile o un cambio normativo senza stress strutturale.</t>
  </si>
  <si>
    <t>Quattro o più mesi di copertura. Questo è un vantaggio reale che la maggior parte delle micro-imprese non ha: la capacità di fare scelte deliberate invece di scelte reattive. Puoi aspettare il momento giusto per un investimento, negoziare da una posizione di forza con fornitori e partner, e attraversare una stagione difficile senza compromettere la struttura. Il lavoro adesso è usare questa solidità in modo strategico — non tenerla ferma come riserva passiva, ma come leva per decisioni che richiedono tempo.</t>
  </si>
  <si>
    <t>L'attività dipende interamente da te e opera in isolamento sostanziale. Se ti fermi — anche solo per una settimana — si ferma tutto. E senza una rete nel territorio che possa supportarti, ogni problema si affronta da soli. Queste due fragilità si rinforzano: un sistema fragile senza rete è un'attività che non può permettersi nessuno shock. La priorità è duplice: scrivi il processo più critico della tua attività su un foglio — tre passaggi, in ordine — e contatta tre operatori del territorio questa settimana.</t>
  </si>
  <si>
    <t>Il sistema regge il ritmo normale ma dipende ancora troppo da te. Ci sono alcune connessioni nel territorio, ma non ancora una rete che lavora anche quando non sei tu a spingerla. Le due fragilità si sommano: un imprevisto operativo coincide spesso con il momento in cui avresti più bisogno della rete per tamponarlo. Il lavoro è parallelo: scrivi una procedura critica al mese, e struttura almeno due collaborazioni attive con accordi chiari su chi manda cosa a chi.</t>
  </si>
  <si>
    <t>Hai un sistema che funziona anche quando non sei tu a guidarlo ogni passaggio, e sei parte di un territorio con cui collabori in modo attivo. Queste due solidità si rafforzano: un sistema delegabile ti libera tempo per coltivare la rete, e una rete attiva ti porta risorse quando qualcosa si inceppa. Il lavoro adesso è rendere entrambe le dimensioni più strutturate: completare la delegabilità su tutte le aree critiche e formalizzare almeno alcune collaborazioni chiave.</t>
  </si>
  <si>
    <t>La tua attività funziona senza di te, sei riconosciuto nel territorio e le tue relazioni generano valore in modo sempre più autonomo. Questa è la combinazione più difficile da costruire nelle micro-imprese — e la più rara. La solidità operativa ti permette di investire nel territorio, e il radicamento ti porta informazioni e opportunità che nessun sistema interno può generare da solo. Il passo successivo è usare questa posizione strategicamente: co-progettare con altri operatori, contribuire alle decisioni del territorio, costruire un vantaggio che si auto-rafforza.</t>
  </si>
  <si>
    <t>L'esposizione digitale è sotto la soglia critica. Strumenti inadeguati, dati dei clienti non protetti, assenza di canali diretti e mancato uso delle informazioni disponibili creano una fragilità che si vede poco finché non diventa un problema concreto: una violazione dei dati, una prenotazione persa a causa di un intermediario, una decisione presa senza le informazioni necessarie. Non serve diventare esperti di tecnologia: servono strumenti di base, usati con metodo. L'impatto di un intervento in quest'area è spesso alto e il costo di ingresso è generalmente basso.</t>
  </si>
  <si>
    <t>Hai qualcosa, ma non abbastanza per sfruttare il digitale in modo strutturato, proteggere adeguatamente i dati dei tuoi clienti, costruire canali diretti che riducano la dipendenza dagli intermediari e usare le informazioni disponibili per prendere decisioni migliori. Il gap da colmare non è tecnologico — è di metodo e abitudine. Partire da un backup automatico, un sistema per tracciare i contatti clienti, un canale di prenotazione diretta e una lettura periodica dei dati disponibili è già sufficiente per uscire dalla zona di attenzione.</t>
  </si>
  <si>
    <t>Usi strumenti digitali con struttura, hai attenzione alla protezione dei dati, stai costruendo canali diretti che riducono la dipendenza dagli intermediari e i dati che hai vengono usati, almeno in parte, per orientare le decisioni. Ci sono aree di miglioramento — in particolare sull'integrazione degli strumenti, sulla solidità del canale diretto e sull'uso sistematico dei dati — ma la base digitale lavora a tuo vantaggio.</t>
  </si>
  <si>
    <t>Hai strumenti integrati, dati protetti con attenzione, canali diretti attivi e usi in modo deliberato le informazioni che raccogli per prendere decisioni. Questo ti dà un vantaggio competitivo reale rispetto alla maggioranza delle micro-imprese del territorio: sai cosa funziona, puoi misurarlo e puoi migliorarlo nel tempo. Il passo successivo è costruire canali diretti ancora più solidi e trasformare il patrimonio di dati accumulato in un vantaggio strutturale difficile da replicare.</t>
  </si>
  <si>
    <t>Ci sono gap di compliance significativi su più fronti. Non sapere è rischioso quanto sapere e ignorare: un controllo normativo, un sinistro non coperto o un arretrato fiscale possono generare costi sproporzionati rispetto alle dimensioni dell'attività. La priorità è fare una lista delle criticità note — normative, assicurative, fiscali — e affrontarle in ordine di urgenza. Non tutto va risolto subito, ma tutto deve avere un calendario. Il costo della compliance è fisso e prevedibile; il costo dell'esposizione è imprevedibile e spesso moltiplicatore.</t>
  </si>
  <si>
    <t>La compliance è parziale. Alcune obbligazioni sono gestite, altre no, e la protezione assicurativa è incompleta o poco compresa. Il rischio è asimmetrico: la compliance completa costa relativamente poco, ma un gap costa molto nel momento peggiore. Il lavoro da fare è un check sistematico: conformità normativa (CIN, GDPR, sicurezza), copertura assicurativa (danni, RC, interruzione attività), regolarità fiscale e contributiva. Un'area al mese è sufficiente per arrivare a una situazione solida nel giro di qualche mese.</t>
  </si>
  <si>
    <t>Sei sostanzialmente in regola e protetto. I rischi principali sono coperti, gli obblighi sono gestiti e sai dove si trovano le aree aperte. Il lavoro adesso è passare da reattivo a proattivo: seguire i cambiamenti normativi prima che diventino obblighi, rivedere la copertura assicurativa annualmente e verificare che sia ancora adeguata alla situazione attuale. La compliance come abitudine ha un costo basso e un impatto alto sulla tranquillità operativa.</t>
  </si>
  <si>
    <t>La compliance è gestita in modo proattivo e fa parte di come gestisci l'attività — non come obbligo burocratico ma come vantaggio strutturale. Sai cosa è coperto, cosa non lo è, e perché. Questo ti mette in una posizione molto più solida della maggior parte delle micro-imprese quando qualcosa di imprevisto accade: non scopri i gap nel momento peggiore, perché non ci sono. Continua ad aggiornare la tua conoscenza normativa e assicurativa con regolarità.</t>
  </si>
  <si>
    <t>L'attività si muove principalmente sulla base dell'esperienza accumulata — che è una risorsa preziosa, ma non basta da sola a intercettare quello che sta cambiando intorno. Chi non si adatta e non impara in modo attivo tende a scoprire i cambiamenti quando il margine di manovra si è già ridotto. Non è una questione di competenze — è una questione di abitudine deliberata. La differenza tra chi attraversa i momenti difficili e chi no spesso non è la fortuna: è la disciplina sistematica di ascoltare, testare e cambiare.</t>
  </si>
  <si>
    <t>C'è una capacità di adattamento e una certa curiosità, ma entrambe tendono ad attivarsi sotto pressione piuttosto che in anticipo. L'apprendimento è episodico: succede quando c'è tempo, quando capita un'occasione. Il lavoro da fare è costruire due abitudini minime e regolari: una di osservazione — cosa cambiano le aspettative dei clienti, cosa fa meglio il competitor più forte — e una di sperimentazione — almeno una cosa nuova ogni trimestre, anche piccola e a basso costo.</t>
  </si>
  <si>
    <t>Impari in modo attivo e ti adatti quando il mercato o il contesto lo richiedono. Questa combinazione è più rara di quanto sembri tra le micro-imprese. Il lavoro adesso è renderla più sistematica: costruire un ciclo in cui quello che osservi produce una decisione, quella decisione si misura, e il risultato cambia la prossima iterazione. Chi ha questa disciplina non solo reagisce meglio agli shock — inizia ad anticiparli.</t>
  </si>
  <si>
    <t>Hai una cultura dell'evoluzione attiva: anticipi i cambiamenti invece di inseguirli, servi mercati diversi e usi quello che impari per prendere decisioni deliberate. Questo è il livello in cui la volatilità del contesto non è solo un rischio — diventa un vantaggio strutturale rispetto a chi non ha la stessa disciplina. Il passo successivo è condividere questo approccio con chi lavora con te e renderlo una parte strutturale di come l'attività funziona — non un'abitudine personale, ma un metodo collettivo.</t>
  </si>
  <si>
    <t>SEZIONE 4 — PERCEZIONE E ANALISI  |  14 template  |  Attivato se |gap| ≥ 1.5</t>
  </si>
  <si>
    <t>Direzione del gap</t>
  </si>
  <si>
    <t>Percezione &gt; Analisi = ti sentivi meglio di quanto emerge. 
Percezione &lt; Analisi = stavi sottovalutando la tua solidità.</t>
  </si>
  <si>
    <t>Percezione &gt; Analisi</t>
  </si>
  <si>
    <t>Ti sentivi più riconoscibile di quanto l'analisi confermi. Succede spesso: chi conosce profondamente la propria attività tende a dare per scontate cose che per un cliente nuovo non sono affatto evidenti — la storia, i dettagli, il perché si fa quello che si fa in quel modo. Quello che per te è ovvio, per chi ti incontra per la prima volta può essere invisibile. Non è una debolezza nella storia: è una distanza tra quello che senti di comunicare e quello che effettivamente arriva. Il lavoro è rendere esplicito quello che finora è rimasto implicito.</t>
  </si>
  <si>
    <t>Percezione &lt; Analisi</t>
  </si>
  <si>
    <t>Stai comunicando meglio di quanto ti riconosca. Probabilmente vedi nitidamente tutto quello che ancora non funziona, senza riuscire a vedere quello che già funziona bene — i clienti che tornano per ragioni precise, le recensioni che descrivono qualcosa di specifico, il passaparola che arriva senza che tu lo abbia cercato. Vale la pena chiedere direttamente a qualcuno di cui ti fidi — un cliente abituale, un collaboratore — perché ti sceglie. Le loro parole sono spesso più chiare e convincenti di quanto riesci a dirti da solo.</t>
  </si>
  <si>
    <t>Ti sentivi più tranquillo sui ricavi di quanto l'analisi confermi. È una delle distorsioni più comuni: la sensazione di controllo e il controllo reale non sempre coincidono. Quando un'attività funziona, si tende a sottostimare la concentrazione — su un canale, su una stagione, su un tipo di cliente — perché finché non si rompe, non si vede quanto sia centrale. L'analisi non dice che stai sbagliando: dice che c'è un punto di fragilità che vale la pena guardare in faccia prima che diventi urgente. Liquidità e concentrazione dei canali sono spesso i due elementi da controllare per primi.</t>
  </si>
  <si>
    <t>Stai gestendo i tuoi ricavi meglio di quanto ti riconosca. Probabilmente senti il peso dell'incertezza — le stagioni difficili, i mesi di cassa stretta, la dipendenza da qualche canale — più della solidità che hai costruito nel tempo. Chi ha costruito resilienza faticando tende a non vederla come un risultato, ma come la normalità. Riconoscere quello che regge non è autocompiacimento: è la base per decidere dove investire con consapevolezza invece di concentrarsi solo su quello che manca.</t>
  </si>
  <si>
    <t>Ti sentivi più a posto sui numeri di quanto l'analisi confermi. Succede spesso, e non è necessariamente un errore di valutazione: la conoscenza dei numeri tende a fermarsi ai ricavi — quello che entra è visibile — mentre i costi, specialmente quelli indiretti, e soprattutto il valore del proprio tempo, restano fuori dal calcolo. Se non includi quanto vale il tuo lavoro tra i costi reali dell'attività, il margine che vedi è più ottimistico di quello reale. Un calcolo preciso, fatto una volta con serietà, cambia la prospettiva su molte decisioni.</t>
  </si>
  <si>
    <t>Stai gestendo i tuoi numeri meglio di quanto ti riconosca. Chi lavora molto sulla compliance e sul controllo dei costi sviluppa spesso una sensazione di precarietà rispetto ai numeri — come se ci fosse sempre qualcosa che potrebbe mancare. L'analisi dice che la tua situazione è più solida di come la senti. Vale la pena fermarsi a leggere quello che funziona: non per abbassare la guardia, ma per prendere decisioni di investimento e crescita con la consapevolezza che le fondamenta reggono.</t>
  </si>
  <si>
    <t>Ti sentivi più pronto ai cambiamenti di quanto l'analisi confermi. È facile confondere la familiarità con la flessibilità: conoscere bene il proprio contesto, sapere come funziona il territorio, avere anni di esperienza — tutto questo dà una sensazione di controllo che non sempre corrisponde alla capacità di rispondere a qualcosa di genuinamente nuovo o imprevisto. La domanda non è se conosci il tuo mercato: è se hai un piano nel caso in cui quel mercato cambi. E se sai già a chi ti rivolgeresti se i tuoi clienti abituali non ci fossero più.</t>
  </si>
  <si>
    <t>Hai più flessibilità di quanto ti riconosca. Probabilmente stai misurando la tua adattabilità rispetto a un ideale molto alto — quello dell'imprenditore che anticipa tutto — senza vedere i cambiamenti concreti che hai già fatto: un servizio modificato dopo un feedback, un'offerta nuova per un segmento che non servivi, una risposta efficace a un imprevisto. Tutto questo conta. Capire cosa ha funzionato in passato, e perché, è il modo più affidabile per replicarlo con intenzione.</t>
  </si>
  <si>
    <t>Ti sentivi più autonomo di quanto l'analisi confermi. È una delle aree più difficili da valutare dall'interno: chi gestisce un'attività conosce ogni meccanismo e lo attiva in modo automatico, senza accorgersi che quel sapere è interamente nella sua testa e non è mai stato trasferito a nessun altro. Finché sei presente e in forma, il sistema funziona. Ma se ti fermi — per una malattia, un imprevisto, una scelta — non c'è niente che lo sorregga al posto tuo. La dipendenza personale non è un difetto di carattere: è una lacuna strutturale, e si risolve con procedure e delega, non con più impegno.</t>
  </si>
  <si>
    <t>Hai più sistema di quanto ti riconosca. Probabilmente vedi con chiarezza le procedure che mancano, i backup che non hai fatto, le cose che ancora dipendono solo da te — e tendi a classificare quello che già funziona come normale, non come un risultato. Ma ogni strumento attivo, ogni persona che sa fare qualcosa al posto tuo, ogni dato organizzato è già sistema. Vale la pena mappare quello che c'è prima di concentrarsi su quello che manca: spesso la distanza da un sistema solido è più corta di quanto sembri.</t>
  </si>
  <si>
    <t>Ti sentivi più connesso al territorio di quanto l'analisi confermi. La familiarità con i luoghi e le persone può sembrare rete anche quando non lo è ancora nella sostanza. Conoscere i nomi, scambiare qualche parola, avere rapporti cordiali con i vicini — tutto questo è un punto di partenza, non un punto di arrivo. Una rete operativa è qualcosa di diverso: è fatta di scambi concreti, di clienti che si mandano a vicenda, di informazioni che circolano, di collaborazioni con un accordo — anche solo verbale — su chi fa cosa per chi.</t>
  </si>
  <si>
    <t>Sei più radicato di quanto ti riconosca. Probabilmente dai per scontate relazioni e collaborazioni che per molti operatori in aree simili non esistono affatto. Il passaparola che arriva senza che tu lo abbia cercato, i clienti mandati da altri, la reputazione nel territorio — sono tutte forme di capitale relazionale che hai costruito nel tempo. Una rete che non viene vista tende a non essere coltivata: e una rete non coltivata si indebolisce lentamente. Riconoscerla è il primo passo per investirci con consapevolezza.</t>
  </si>
  <si>
    <t>Ti sentivi più aggiornato di quanto l'analisi confermi. È una delle confusioni più frequenti: l'esperienza accumulata è una risorsa preziosa, ma non sempre si aggiorna in modo sistematico. Chi lavora da anni nel proprio settore sa moltissimo — ma tende a imparare per osmosi, non per scelta deliberata. La differenza non è quanto sai: è se hai un canale attivo per raccogliere segnali nuovi, confrontarti con chi fa cose diverse e testare ipotesi in modo intenzionale. Senza un canale deliberato, l'apprendimento rallenta senza che ce ne si accorga.</t>
  </si>
  <si>
    <t>Stai imparando più di quanto ti riconosca. Probabilmente non stai contando come apprendimento le cose che fai in modo naturale — leggere le recensioni con attenzione, cambiare qualcosa che non funzionava dopo averci ragionato, osservare cosa fanno meglio gli altri e portarne a casa qualcosa di concreto. Tutto questo conta, anche se non ha il formato di un corso o di una certificazione. Il rischio non è l'assenza di apprendimento — è la mancanza di sistematicità: quello che si impara per caso non sempre viene trasformato in un cambiamento intenzionale.</t>
  </si>
  <si>
    <t>SEZIONE 5 — RISCHIO DI INERZIA  |  7 aree × 5 livelli  |  Scala 1-5</t>
  </si>
  <si>
    <t>Banda</t>
  </si>
  <si>
    <t>Soglie: ≤2.25  |  &lt;3.00  |  &lt;3.50  |  &lt;4.00  |  ≤5.00   —   Selezione: IF(score≤2.25,C_r1,IF(score&lt;3,C_r2,IF(score&lt;3.5,C_r3,IF(score&lt;4,C_r4,C_r5))))</t>
  </si>
  <si>
    <t>Chi non riesce a capire perché sceglierti tende a decidere in base al prezzo o alla posizione — i due criteri su cui è più difficile competere per una piccola impresa. Ogni giorno senza un posizionamento chiaro è un giorno in cui qualcun altro riempie quello spazio. Non è necessariamente un competitor diretto: a volte è semplicemente la mancanza di un motivo per ricordarti.</t>
  </si>
  <si>
    <t>Il posizionamento c'è, ma non è ancora abbastanza solido da lavorare per te in modo autonomo. I clienti giusti arrivano, ma non sempre per le ragioni giuste. Il rischio di restare qui — né confuso né riconoscibile — è che il mercato ti classifichi da solo, spesso in modo che non corrisponde a quello che sei davvero.</t>
  </si>
  <si>
    <t>Hai un'identità sufficientemente chiara da funzionare. Il rischio non è la debolezza — è la deriva silenziosa. Un'identità che non viene curata e aggiornata quando l'offerta evolve tende ad affievolirsi lentamente, senza che ci si accorga, finché ci si rende conto che il messaggio non corrisponde più a quello che si è diventati.</t>
  </si>
  <si>
    <t>Il tuo posizionamento è solido e riconoscibile. Il lavoro adesso non è costruire — è presidiare. Le identità forti non si erodono di colpo: si erodono per accumulo di piccole incoerenze — un canale trascurato, un messaggio che non si aggiorna, una collaborazione che racconta qualcosa di diverso da quello che sei.</t>
  </si>
  <si>
    <t>Sei in una posizione vantaggiosa: i clienti ti scelgono consapevolmente e sanno spiegarlo. Il rischio a questo livello non è la fragilità — è la compiacenza. Un posizionamento forte non si mantiene da solo nel tempo: richiede cura attiva, aggiornamento quando il contesto cambia e presidio costante della coerenza su tutti i punti di contatto.</t>
  </si>
  <si>
    <t>Un cambio di algoritmo, una stagione anomala, un canale che cambia le condizioni: questi non sono scenari rari — sono statistiche. La causa principale di chiusura delle piccole imprese non è la mancanza di clienti: è la cassa che non regge un momento difficile. Restare qui senza intervenire significa scommettere che nessuno di questi scenari si materializzerà — e la probabilità che uno si materializzi aumenta con il tempo.</t>
  </si>
  <si>
    <t>La struttura dei ricavi regge, ma con margini di tolleranza stretti. Non c'è ancora la diversificazione o la prevedibilità che permettono di affrontare uno shock senza entrare in modalità emergenza. Restare qui a lungo — con la sensazione che tutto sommato funzioni — è esattamente il momento in cui si tende a non fare nulla, e in cui la fragilità rimane senza che se ne abbia piena consapevolezza.</t>
  </si>
  <si>
    <t>Hai una base di ricavi che regge il quotidiano. Il rischio è ottimizzare solo quello che già funziona senza costruire la ridondanza che serve quando qualcosa cambia. Chi ha ricavi sufficienti spesso rimanda la diversificazione perché non ne sente l'urgenza — ma la diversificazione si costruisce con calma, non sotto pressione.</t>
  </si>
  <si>
    <t>La struttura dei tuoi ricavi è solida. Il passo successivo è trasformare la solidità in prevedibilità: costruire flussi ricorrenti, relazioni dirette con i clienti che riducano la dipendenza dall'acquisizione continua, e un mix che non dipenda interamente da una singola stagione o un singolo canale.</t>
  </si>
  <si>
    <t>Hai ricavi diversificati, diretti e distribuiti nell'anno. Il lavoro adesso è documentare e proteggere questa struttura: capire esattamente cosa la sostiene, quali scelte l'hanno costruita e come si mantiene nel tempo — perché quello che funziona bene tende a essere dato per scontato fino a quando smette di funzionare.</t>
  </si>
  <si>
    <t>Lavorare senza sapere quanto resta davvero — dopo tutte le spese, incluso il valore del proprio tempo — significa prendere decisioni importanti senza le informazioni che servono. Si può lavorare a margine negativo senza accorgersene per mesi. Il costo dell'improvvisazione sui numeri si accumula silenziosamente e arriva in forma di crisi in momenti già difficili.</t>
  </si>
  <si>
    <t>Hai una conoscenza parziale dei tuoi numeri. Sai grossomodo dove stai, ma non con la precisione che serve per fare scelte deliberate su pricing, costi e investimenti. Restare qui — con una visione abbastanza chiara da non preoccuparsi, ma non abbastanza precisa da decidere bene — è il livello in cui si prendono le decisioni più costose senza rendersene conto.</t>
  </si>
  <si>
    <t>I tuoi numeri sono sufficientemente sotto controllo. Il rischio è non andare oltre: sapere che si sta guadagnando non è la stessa cosa di sapere quanto si guadagna per unità, per linea, per cliente. Quella granularità è quello che permette di fare scelte di pricing e di mix con intenzione invece che per abitudine.</t>
  </si>
  <si>
    <t>Hai una buona visibilità sui tuoi numeri e la compliance è gestita. Il lavoro adesso è usare questa solidità per fare scelte attive: sapere dove il margine è più alto, dove vale la pena orientare l'offerta, e come migliorare il mix senza aspettare che qualcosa si rompa.</t>
  </si>
  <si>
    <t>Hai una visione chiara e precisa dei tuoi numeri, la compliance è proattiva e usi i dati per prendere decisioni consapevoli. Questo livello richiede manutenzione: i numeri cambiano, i costi evolvono, le normative si aggiornano. Chi ha questa chiarezza tende a mantenerla solo se continua a curarla con la stessa sistematicità con cui l'ha costruita.</t>
  </si>
  <si>
    <t>Il prossimo shock non si annuncerà in anticipo. Chi guarda solo il mercato che già serve e non ha un piano alternativo lo scoprirà quando il margine di manovra si sarà già ridotto. Non si tratta di pessimismo: si tratta di riconoscere che in un contesto che cambia velocemente, la differenza tra chi si adatta in anticipo e chi si adatta in ritardo si misura in mesi di ricavi — non in settimane di sforzo.</t>
  </si>
  <si>
    <t>Hai una certa capacità di adattamento, ma tende ad attivarsi sotto pressione più che in anticipo. Il rischio di restare qui è che ogni volta che qualcosa cambia si parta da zero — senza piani, senza offerte alternative, senza segmenti di riserva. L'adattamento reattivo costa di più, in tempo e in soldi, di quello costruito prima che serva.</t>
  </si>
  <si>
    <t>Riesci ad adattarti quando è necessario. Il passo che manca è rendere questa capacità strutturale invece che situazionale: avere almeno due o tre segmenti attivi in parallelo, un piano di emergenza scritto e un'abitudine regolare di osservazione del contesto — non solo quando c'è un problema.</t>
  </si>
  <si>
    <t>Hai dimostrato di saper cambiare quando il mercato o il contesto lo richiedono. Il lavoro adesso è rendere questo processo più deliberato: osservare i segnali deboli prima che diventino forti, mantenere attivi più segmenti contemporaneamente e pianificare scenari alternativi anche quando tutto va bene.</t>
  </si>
  <si>
    <t>Anticipi i cambiamenti invece di inseguirli. Il rischio a questo livello è diventare troppo sicuri della propria capacità di adattamento: anche chi ha dimostrato flessibilità in passato può trovarsi impreparato davanti a cambiamenti di tipo o scala diversi da quelli affrontati finora. La disciplina dell'osservazione sistematica non va mai abbandonata.</t>
  </si>
  <si>
    <t>Un'attività che dipende interamente da una persona non è un business — è un lavoro che non si può lasciare. Quando arriverà il momento di fermarsi — per una malattia, un imprevisto, una scelta — sarà tardi per costruire le procedure. Il sistema si costruisce prima che serva, non nel mezzo di una crisi.</t>
  </si>
  <si>
    <t>Il sistema funziona finché sei presente e in forma. Ci sono alcune strutture, ma la dipendenza personale rimane alta e i dati non sono gestiti con la sistematicità che servirebbe. Restare qui significa costruire sulla disponibilità della persona invece che sulla solidità dei processi — ed è una scommessa che prima o poi si perde.</t>
  </si>
  <si>
    <t>Hai le basi di un sistema che può funzionare anche senza di te. Il lavoro adesso è completarlo: ci sono ancora aree critiche che dipendono esclusivamente dalla tua presenza, procedure non scritte e informazioni gestite in modo non strutturato. Ognuna di queste lacune è un punto di fragilità che si manifesta nel momento meno opportuno.</t>
  </si>
  <si>
    <t>La tua attività non dipende interamente da te e hai gli strumenti per gestirla anche a distanza. Il passo successivo è fare evolvere questo sistema verso qualcosa che si auto-migliora: raccogliere i dati che genera, usarli per decidere e costruire un ciclo in cui ogni problema risolto rende il sistema un po' più robusto.</t>
  </si>
  <si>
    <t>Hai un sistema solido, delegabile e attento alla protezione dei dati. Il rischio a questo livello non è il collasso — è la stagnazione. Un sistema che non viene aggiornato tende a irrigidirsi nel tempo, a diventare un insieme di procedure che si seguono per abitudine senza più verificare se corrispondono a quello che serve davvero.</t>
  </si>
  <si>
    <t>Chi lavora in isolamento affronta i problemi da solo, perde le opportunità che circolano nella rete locale e non intercetta le informazioni che arrivano prima a chi è connesso. Per una piccola impresa in un territorio come il tuo, la rete non è un optional: è un moltiplicatore. Un referral attivo con tre operatori vicini può valere più di un anno di campagne promozionali. In un momento difficile, una rete solida fa la differenza tra un problema e una crisi.</t>
  </si>
  <si>
    <t>Hai alcune connessioni nel territorio, ma non ancora una rete che lavora per te anche quando non sei tu a spingerla. Il rischio di restare qui è che le relazioni rimangano conoscenze invece di diventare partnership: persone con cui ci si saluta, non operatori con cui ci si manda clienti, si condividono informazioni e si co-progetta.</t>
  </si>
  <si>
    <t>Sei presente nel territorio e hai relazioni che generano un certo valore. Il passo successivo è strutturarle: accordi espliciti con i partner principali, partecipazione alle occasioni in cui si prendono decisioni che riguardano il territorio, e una presenza riconoscibile nelle iniziative locali. Una rete che non viene coltivata si indebolisce lentamente, senza che ce ne si accorga.</t>
  </si>
  <si>
    <t>Sei radicato nel territorio e le tue relazioni generano valore concreto — referral, informazioni, opportunità. Il lavoro adesso è rendere questo vantaggio più strutturato e meno dipendente dalla tua presenza attiva: accordi formali con i partner principali, presidio delle occasioni strategiche e una reputazione che lavora per te anche quando non sei tu a rappresentarla.</t>
  </si>
  <si>
    <t>Sei un nodo della rete locale: le relazioni che hai costruito generano valore in modo quasi autonomo, sei riconosciuto come risorsa nella comunità e partecipi attivamente alle dinamiche del territorio. Il rischio a questo livello è la dispersione: una rete che non viene curata con regolarità si indebolisce lentamente, e le relazioni più preziose richiedono più manutenzione di quelle superficiali, non meno.</t>
  </si>
  <si>
    <t>Il mercato si muove, i clienti cambiano aspettative, le normative evolvono. Chi non ha un canale attivo per raccogliere segnali nuovi tende a scoprire i cambiamenti quando sono già diventati problemi — non quando erano ancora opportunità. Non serve stare aggiornati su tutto: serve costruire l'abitudine di farlo con regolarità, anche un'ora al mese, su due o tre fonti scelte con cura.</t>
  </si>
  <si>
    <t>C'è curiosità nella tua attività, ma l'apprendimento è ancora episodico — succede quando c'è tempo, non come pratica sistematica. Restare qui significa continuare a reagire agli stimoli quando capitano, senza mai costruire la disciplina che trasforma l'osservazione in decisioni migliori. La distanza tra chi impara per caso e chi impara con metodo si accumula lentamente, poi si vede tutta in una volta.</t>
  </si>
  <si>
    <t>Impari in modo abbastanza regolare e le informazioni che raccogli influenzano le tue decisioni. Il lavoro adesso è rendere questo ciclo più esplicito: tracciare quello che sperimenti, misurare i risultati e costruire un processo in cui ogni feedback produce un'azione concreta. L'apprendimento informale è meglio di niente — ma quello strutturato produce risultati diversi.</t>
  </si>
  <si>
    <t>Hai una cultura dell'apprendimento attiva: ascolti i clienti con metodo, ti confronti con chi fa cose simili e sperimenti senza aspettare che sia strettamente necessario. Il lavoro adesso è condividere questo approccio con chi lavora con te: un'organizzazione che apprende collettivamente è più robusta di una persona che apprende bene da sola.</t>
  </si>
  <si>
    <t>Hai una cultura dell'apprendimento solida e strutturata. Ogni ciclo cambia qualcosa in base a quello che hai osservato, testato, imparato — e non stai solo reagendo al mercato, ma contribuendo a interpretarlo. Il rischio a questo livello è diventare così sistematici da perdere la fluidità: l'apprendimento funziona meglio quando combina disciplina e apertura all'imprevisto.</t>
  </si>
  <si>
    <t>SEZIONE 6 — AZIONI PRIORITARIE  |  7 aree × 5 livelli  |  Scala 1–5</t>
  </si>
  <si>
    <t>Livello / Priorità</t>
  </si>
  <si>
    <t>Soglie: ≤2.25 Urgente | &lt;3.00 Alta | &lt;3.50 Media | &lt;4.00 Bassa | ≤5.00 Mantenimento e sviluppo   |   Formula selezione: =IF(B&lt;=2.25,C_r1,IF(B&lt;3,C_r2,IF(B&lt;3.5,C_r3,IF(B&lt;4,C_r4,C_r5))))</t>
  </si>
  <si>
    <t>≤2.25 (Urgente)</t>
  </si>
  <si>
    <t>Scrivi in meno di 30 secondi cosa ti rende diverso — non una descrizione di quello che fai, ma la risposta alla domanda: perché dovrei scegliere te invece di qualcun altro? Non pensarci troppo: scrivi la prima cosa che viene. Se non riesci a scriverla in modo convincente, questo è il problema da cui partire — prima di qualsiasi strumento, piattaforma o investimento in comunicazione.
Poi prendi quella frase e mostrala a tre clienti di fiducia — quelli che ti scelgono da più tempo e che ti hanno mandato altri clienti. Chiedi loro: "Riconosci la tua esperienza con me in queste parole?" Se non la riconoscono, siediti con loro e riscrivila usando le loro parole, non le tue. Le parole dei clienti sono quasi sempre più precise, più oneste e più convincenti di quelle che userebbe il titolare per descriversi.
Poi confronta quello che hai scritto con quello che dice il tuo sito, il tuo profilo sui social, il modo in cui rispondi alle recensioni. Sembrano la stessa attività? Se c'è distanza tra quello che pensi di essere e quello che comunichi, il lavoro inizia da lì — non da nuove foto o nuovi post.</t>
  </si>
  <si>
    <t>&lt;3.00 (Alta)</t>
  </si>
  <si>
    <t>Hai qualcosa da raccontare — ma non arriva ancora con la coerenza e la chiarezza che meriterebbe. Il problema non è l'assenza di storia: è che non è ancora stata resa esplicita, strutturata e comunicata in modo che arrivi uguale a chiunque entri in contatto con la tua attività.
Il lavoro da fare è in tre passaggi. Primo: chiedi a cinque clienti — quelli che preferisci, quelli che tornan
o, quelli che ti mandano altri — perché ti scelgono. Non chiederlo in modo generico: chiedi cosa avrebbero perso se avessero scelto qualcun altro. Le loro risposte ti diranno cosa conta davvero. Secondo: scrivi tre frasi su chi sei, perché sei qui e cosa offri che altri non possono replicare facilmente. Non devono essere perfette — devono essere oneste. Terzo: porta quelle frasi su ogni canale dove sei presente — sito, social, risposta alle prenotazioni, presentazione verbale — e verifica che il tono sia coerente.
Non serve una strategia di comunicazione complessa. Serve che chi entra in contatto con te per la prima volta riceva lo stesso messaggio di chi ti conosce da anni.</t>
  </si>
  <si>
    <t>&lt;3.50 (Media)</t>
  </si>
  <si>
    <t>La tua identità è chiara per chi ti conosce, ma non è ancora strutturata in modo da lavorare per te in modo autonomo — anche quando non sei tu a presentarti direttamente.
Il lavoro adesso è triplice. Primo, fai un audit di coerenza: prendi dieci minuti e controlla il tuo sito, il tuo profilo Google, l'ultima pagina social attiva e le ultime cinque risposte alle recensioni. Il messaggio è lo stesso? Il tono è riconoscibile? Secondo, aggiorna il messaggio se l'offerta è cambiata nell'ultimo anno — le identità scivolano quando l'attività evolve senza che il racconto si aggiorni. Terzo, assicurati che chi lavora o collabora con te sappia come presentare l'attività con le stesse parole che useresti tu: un collaboratore che descrive la tua attività in modo diverso da come la descrivi tu crea confusione anche quando lavora bene.
In parallelo, inizia a raccogliere sistematicamente le frasi con cui i clienti ti descrivono nelle recensioni e nel passaparola. Sono il tuo archivio di posizionamento: usale in modo deliberato, non lasciarle sparire.</t>
  </si>
  <si>
    <t>&lt;4.00 (Bassa)</t>
  </si>
  <si>
    <t>Sai chi sei e lo comunichi con precisione. Il posizionamento lavora per te: i clienti ti scelgono per ragioni che sanno spiegare, il passaparola funziona e non devi competere solo sul prezzo o sulla posizione. Questo è un asset raro che vale la pena proteggere con la stessa cura con cui è stato costruito.
Il lavoro adesso è su due fronti. Il primo è la documentazione: scrivi il tuo posizionamento in modo esplicito — chi sei, per chi, perché, cosa ti rende diverso — in un documento che possa essere condiviso con collaboratori, partner e chiunque parli di te in tua assenza. Un posizionamento che esiste solo nella tua testa è fragile. Il secondo fronte è la raccolta sistematica delle parole dei clienti: le loro recensioni, le frasi che usano quando ti raccomandano, i motivi che danno quando tornano. Questo materiale è il tuo posizionamento visto dall'esterno — è spesso più preciso e convincente di qualsiasi cosa tu scriva su te stesso.
Pianifica un check semestrale: l'offerta è cambiata? Il messaggio si è aggiornato? Chi collabora con te racconta la stessa storia?</t>
  </si>
  <si>
    <t>≤5.00 (Mantenimento e sviluppo)</t>
  </si>
  <si>
    <t>Il tuo posizionamento è forte, riconoscibile e coerente. I clienti ti scelgono consapevolmente, sanno spiegarlo e tendono a mandare altri clienti con le stesse caratteristiche — il che significa che il posizionamento non solo attrae, ma filtra. Questa è una condizione strutturalmente vantaggiosa che richiede manutenzione attiva, non solo conservazione passiva.
Il lavoro si articola su tre livelli. Il primo è il presidio della coerenza: verifica ogni sei mesi che tutti i punti di contatto — sito, social, risposta alle prenotazioni, presentazione verbale di collaboratori e partner — raccontino la stessa storia. Le identità forti si erodono per accumulo di piccole incoerenze, non di colpo. Il secondo è l'aggiornamento: quando l'offerta evolve, il posizionamento deve evolvere con essa. Non aspettare che la distanza diventi evidente ai clienti prima di correggerla. Il terzo è la capitalizzazione: costruisci un archivio attivo di testimonianze, storie di clienti e materiali che raccontino cosa sei con le parole di chi ti ha scelto — non con le tue. Questo archivio è il tuo posizionamento esternalizzato: funziona anche quando non sei tu a parlare.</t>
  </si>
  <si>
    <t>Fai una cosa questa settimana, prima di qualsiasi altra decisione: calcola quanti mesi di spese fisse potresti coprire se i ricavi si azzerassero oggi. Non una stima — il numero preciso. Prendi tutte le uscite fisse mensili (affitto o mutuo, utenze, abbonamenti, contributi, eventuali dipendenti o collaboratori fissi) e dividile per la liquidità disponibile. Quel numero è il tuo margine reale di sicurezza.
Poi guarda il canale che ti porta la maggior parte dei ricavi — il principale intermediario, la principale tipologia di cliente, il principale periodo dell'anno. Chiediti: se quel canale cambiasse le condizioni domani, o se quel periodo fosse compromesso da un evento esterno, quanto tempo avresti per reagire prima di andare in difficoltà?
Questi due numeri non servono a spaventare: servono a rendere visibile il rischio concreto su cui lavorare. L'azione prioritaria è costruire una riserva minima — anche piccola, anche graduale: accantonare il 5-10% di ogni incasso in un conto separato, intoccabile se non per vera emergenza. In parallelo, identifica un secondo canale o un secondo segmento di clienti su cui iniziare a lavorare, anche in piccolo, anche in modo sperimentale.</t>
  </si>
  <si>
    <t>Hai una base di partenza, ma c'è una concentrazione — su un canale, una stagione, un tipo di cliente — che vale la pena ridurre con metodo prima che si trasformi in un problema.
Il primo passo è la diagnosi precisa: calcola quanta parte dei tuoi ricavi annuali viene da un singolo canale, da un singolo mese o da un singolo tipo di cliente. Se uno di questi supera il 50%, hai una concentrazione da gestire. Il secondo passo è costruire almeno una fonte alternativa concreta entro i prossimi tre mesi: un secondo canale di prenotazione o vendita attivo, un'offerta specifica per un periodo che oggi non copri (bassa stagione, infrasettimanale, target diverso), o un segmento di clienti che non stai ancora servendo ma che ha senso per la tua attività.
In parallelo, costruisci una riserva di liquidità minima: anche solo due mesi di spese fisse in un conto separato cambiano la struttura del rischio in modo significativo — non perché risolva tutto, ma perché ti dà il tempo di reagire senza dover prendere decisioni affrettate sotto pressione. Tieni traccia mensile dei ricavi per canale: non per fare report, ma per vedere subito se un canale sta perdendo peso.</t>
  </si>
  <si>
    <t>La struttura dei ricavi regge il quotidiano e tiene discretamente agli shock stagionali. Non c'è ancora la diversificazione piena che permetterebbe di attraversare una crisi prolungata senza pressione, ma la base funziona. Il lavoro adesso è consolidarla in modo strutturale.
Su tre fronti. Il primo è l'ottimizzazione del mix: analizza i tuoi ricavi per canale e per tipologia di cliente e identifica quali generano il margine migliore — non solo il volume maggiore. Spesso il 20% dei clienti genera il 60% del valore netto: sapere chi sono permette di lavorare per attrarne altri simili. Il secondo fronte è la relazione diretta: costruisci o consolida un database di clienti che hai già servito, con la capacità di contattarli direttamente per offerte, aggiornamenti o inviti a tornare. I ricavi da clienti che già ti conoscono costano meno da generare, sono più stabili e tendono a generare passaparola. Il terzo fronte è la prevedibilità: costruisci almeno due mesi di proiezione sui flussi di cassa — non come esercizio contabile, ma come strumento di decisione. Chi sa a novembre come andrà febbraio ha tempo per agire; chi lo scopre a gennaio spesso no.</t>
  </si>
  <si>
    <t>Hai una struttura dei ricavi solida. Il passo successivo è trasformare la solidità in prevedibilità e la prevedibilità in ricorrenza strutturale — cioè ricavi che non dipendono interamente dall'acquisizione continua di nuovi clienti.
Il lavoro si articola su due priorità. La prima è la ricorrenza: identifica i clienti che tornano con regolarità e capisci cosa li fa tornare. Poi progetta offerte o format pensati specificamente per loro — abbonamenti, pacchetti stagionali, accesso prioritario, condizioni riservate. Ogni cliente che torna è un cliente che non devi riacquisire. La seconda priorità è la distribuzione dell'anno: se hai ancora mesi significativamente più deboli degli altri, lavora su offerte specifiche per quei periodi — non necessariamente con prezzi più bassi, ma con proposte costruite sulle caratteristiche di quel periodo e sui clienti che lo frequentano. Infine, mantieni aggiornato un cruscotto mensile semplice: ricavi per canale, ricavi da clienti nuovi vs ricavi da clienti di ritorno, liquidità disponibile. Non serve essere commercialisti — serve leggere tre numeri una volta al mese.</t>
  </si>
  <si>
    <t>Hai ricavi diversificati, distribuiti nell'anno e costruiti su più canali. Hai già fatto il lavoro più difficile — costruire resilienza prima che fosse necessaria. Adesso il rischio principale non è la fragilità: è la deriva silenziosa, cioè il progressivo spostamento del peso verso un canale o un periodo senza che ce ne si accorga.
Il lavoro di manutenzione si articola su tre livelli. Il primo è il monitoraggio attivo: ogni trimestre, calcola la distribuzione percentuale dei ricavi per canale e per periodo. Se un canale sta crescendo oltre il 40% del totale, è il momento di considerare se è una scelta deliberata o un drift da correggere. Il secondo livello è la documentazione del modello: scrivi in modo esplicito le scelte che hai fatto — quali canali presidii, con quale logica, come hai distribuito l'anno, qual è la tua riserva target. Questo documento serve a te nei momenti di decisione e a chiunque ti affianchi in futuro. Il terzo livello è l'ottimizzazione: con una struttura stabile puoi permetterti di ottimizzare il mix — ridurre la dipendenza dai canali a margine più basso, aumentare la quota diretta, costruire flussi ricorrenti più solidi.</t>
  </si>
  <si>
    <t>Prendi l'ultimo mese e calcola il margine netto reale — non il fatturato, non il lordo, ma quello che resta dopo tutte le spese. Fallo in modo completo: tutte le uscite fisse (affitto o mutuo, utenze, abbonamenti, software, assicurazioni, contributi), tutte le uscite variabili (fornitori, materiali, commissioni sulle prenotazioni, eventuali collaboratori a progetto), e — voce che viene quasi sempre dimenticata — il valore delle ore che hai lavorato tu.
Su quest'ultimo punto: se dovessi pagare qualcuno per fare quello che fai tu, quanto gli daresti al mese? Scrivi quel numero. Aggiungilo ai costi. Quello che resta è il tuo margine reale — non quello percepito.
Se il risultato ti sorprende, è meglio saperlo adesso che quando non c'è più spazio per correggere la rotta. L'azione immediata è due cose in parallelo: primo, inizia a tracciare le spese in modo sistematico — anche solo su un foglio Excel con le categorie principali, aggiornato ogni settimana. Secondo, verifica la tua situazione fiscale e contributiva: sai quali scadenze ti aspettano nei prossimi sei mesi? Sai quanto stai accantonando? Molte crisi di liquidità nelle micro-imprese non vengono da ricavi insufficienti — vengono da scadenze fiscali che arrivano quando la cassa è già bassa.</t>
  </si>
  <si>
    <t>Hai una conoscenza parziale dei tuoi numeri — abbastanza da gestire il quotidiano, non abbastanza da fare scelte deliberate su pricing, investimenti e struttura dei costi.
Il lavoro si articola su quattro aree. Prima: struttura il tracciamento delle spese in modo sistematico. Non serve un software contabile — basta un foglio con le categorie principali aggiornato settimanalmente. Il punto è avere una lettura mensile precisa che includa tutte le voci, incluso il valore del tuo lavoro. Seconda: calcola il break-even della tua attività — quanti euro di fatturato ti servono al mese per coprire tutte le spese, incluse quelle che paghi una volta all'anno (assicurazioni, tasse, manutenzioni). Sapere questo numero cambia il modo in cui valuti ogni mese. Terza: verifica la compliance sugli adempimenti principali — CIN se applicabile, GDPR per i dati clienti, scadenze fiscali e contributive. Non sapere ha un costo che tende a presentarsi nel momento peggiore. Quarta: controlla se la tua copertura assicurativa è adeguata per quello che fai davvero — non per quello che facevi quando l'hai stipulata.</t>
  </si>
  <si>
    <t>Tieni i tuoi numeri abbastanza sotto controllo da sapere dove stai e da correggere quando qualcosa non torna. Non hai ancora la granularità che permetterebbe di ottimizzare il pricing per linea o per cliente, ma la direzione è quella giusta.
Il lavoro adesso è andare un livello più in profondità. Primo: analizza il margine per tipologia di offerta o di servizio — non per fatturato totale, ma per margine unitario. Quanto ti rimane, in percentuale, su ogni categoria di prodotto o servizio che offri? Spesso emergono differenze significative che non si vedono guardando i numeri in aggregato: un'attività può avere un servizio che genera il doppio del margine degli altri, e non saperlo. Secondo: fai una revisione del pricing — almeno una volta all'anno, confronta i tuoi prezzi con quelli del mercato e verifica che siano ancora allineati al valore che offri. Un prezzo che non viene aggiornato per anni tende a scendere in termini reali anche senza che cambi nominalmente. Terzo: costruisci una proiezione delle scadenze fiscali e contributive dei prossimi 12 mesi e accantonala ogni mese in proporzione. Chi pianifica le tasse non le subisce.</t>
  </si>
  <si>
    <t>Hai visibilità completa sui tuoi numeri, la compliance è gestita in modo proattivo e usi i dati per prendere decisioni. Questa è una base strutturalmente solida che permette di fare scelte che chi non ce l'ha non può fare.
Il lavoro adesso è usare questa solidità come leva per ottimizzare il mix e crescere in modo deliberato. Primo: identifica le tre linee di offerta con il margine più alto e analizza cosa le rende più efficienti — è il pricing, il costo della produzione/erogazione, il tipo di cliente, la stagione? Capire il perché permette di replicarlo su altri segmenti. Secondo: valuta se ci sono aree dove potresti aumentare il prezzo senza perdere clienti — spesso chi ha un posizionamento chiaro ha anche spazio di pricing che non sta usando. Terzo: costruisci un piano di investimento basato sui tuoi margini reali — non su quanto pensi di poter spendere, ma su quanto puoi effettivamente destinare a sviluppo senza compromettere la liquidità operativa. Chi sa esattamente quanto può investire fa scelte diverse da chi va a sensazione.</t>
  </si>
  <si>
    <t>Hai una visione chiara e precisa dei tuoi numeri, la compliance è gestita in modo proattivo e usi i dati per orientare le decisioni. Questa maturità finanziaria è un asset raro nelle micro-imprese e va mantenuta con la stessa sistematicità con cui è stata costruita.
Il lavoro di manutenzione ha tre dimensioni. La prima è l'aggiornamento regolare: i costi evolvono, i fornitori cambiano le condizioni, le normative si aggiornano, il mercato si muove. Un sistema di controllo che non viene aggiornato diventa obsoleto senza che ci si accorga. Pianifica una revisione completa dei costi fissi ogni sei mesi e una revisione del pricing almeno una volta all'anno. La seconda dimensione è l'ottimizzazione progressiva: con una base solida puoi permetterti di guardare al futuro — qual è il mix di offerta ottimale? Ci sono investimenti con rendimento chiaro che stai rimandando? Quali linee di attività stanno assorbendo risorse sproporzionate rispetto al margine che generano? La terza dimensione è la trasmissibilità: documenta il tuo sistema di controllo in modo che possa essere capito e gestito anche da qualcun altro. Un sistema che funziona solo perché ci sei tu non è ancora un sistema completo.</t>
  </si>
  <si>
    <t>Fai due esercizi concreti questa settimana. Il primo: scrivi cosa succederebbe, giorno per giorno, se non potessi lavorare per due settimane a partire da domani. Chi è esposto? Cosa si blocca? Chi potresti chiamare? Chi ti manderebbe clienti? Non è un esercizio per spaventarti — è per rendere visibile la dipendenza da un singolo scenario che dai per scontato. Quello che trovi è il tuo piano di emergenza da costruire.
Il secondo esercizio: identifica un segmento di clienti che non stai ancora servendo — turisti fuori stagione, clienti da fuori area, famiglie invece di coppie, gruppi invece di individuali, o qualsiasi altra variazione rispetto al tuo cliente tipo attuale. Poi pensa a cosa potresti offrire loro con quello che hai già, senza investimenti significativi. Non deve essere perfetto: deve essere testabile. L'obiettivo non è crescere su tutti i fronti — è avere almeno un piano B concreto nel caso in cui il piano A smetta di funzionare.
Scrivi entrambi su un foglio. Il fatto di averli scritti cambia già la struttura del rischio: chi ha un piano di emergenza scritto lo attiva più velocemente di chi lo deve costruire nel momento di crisi.</t>
  </si>
  <si>
    <t>Hai una certa capacità di adattamento, ma tende ad attivarsi sotto pressione più che in anticipo. Il lavoro adesso è costruire la struttura che permette di adattarsi prima che sia necessario.
Su tre fronti. Il primo è la diversificazione delle offerte: costruisci almeno due proposte specifiche per periodi o segmenti che oggi non stai servendo. Devono essere concrete — non idee, ma offerte con un prezzo, un nome e una proposta di valore chiara — e devi averle testate almeno una volta con clienti reali. Anche un solo cliente su un segmento nuovo ti dà informazioni che non puoi avere altrimenti. Il secondo fronte è il piano di emergenza: scrivi cosa succede se non puoi lavorare per una settimana. Chi gestisce le comunicazioni? Chi risponde alle prenotazioni? Chi ha accesso agli strumenti? Chi può coprire, anche parzialmente? Non serve che sia perfetto — serve che esista. Il terzo fronte è l'osservazione strutturata del contesto: dedica un'ora al mese a guardare cosa cambia — le aspettative dei clienti, i movimenti del territorio, le dinamiche del mercato di riferimento. Chi guarda regolarmente vede i cambiamenti prima che diventino urgenti.</t>
  </si>
  <si>
    <t>Riesci ad adattarti quando è necessario e hai qualche offerta per segmenti o periodi diversi da quelli principali. La flessibilità c'è — il lavoro adesso è renderla strutturale invece che situazionale.
Tre aree di intervento. Prima: analizza la distribuzione dei tuoi clienti per provenienza geografica, tipologia, stagione e canale di acquisizione. Dove c'è concentrazione, c'è esposizione. Identifica i due o tre cluster più rilevanti e costruisci offerte dedicate per ciascuno — non le stesse offerte per tutti, ma proposte costruite sulle caratteristiche specifiche di ogni segmento. Seconda: costruisci o aggiorna il piano di emergenza — non solo per la tua assenza, ma per scenari più ampi: cosa fai se una stagione va male? Se un canale cambia le condizioni? Se c'è un evento esterno che riduce i flussi? Avere tre scenari scritti — base, ottimistico, pessimistico — cambia il modo in cui si affrontano le decisioni quotidiane. Terza: mantieni attivi almeno due o tre mercati o segmenti in parallelo in modo che nessuno pesi più del 50% del totale. Questo non è crescita: è gestione del rischio.</t>
  </si>
  <si>
    <t>Hai dimostrato di saper cambiare quando il mercato o il contesto lo richiedono. Questa capacità è uno degli asset più difficili da costruire — e si mantiene solo con la pratica sistematica, non con l'esperienza passata da sola.
Il lavoro adesso è su due livelli. Il primo è la sistematizzazione dell'osservazione: costruisci un ciclo regolare — trimestrale è il ritmo giusto per la maggior parte delle micro-imprese — in cui dedichi tempo a leggere i dati che hai (recensioni, prenotazioni, no-show, variazioni nella tipologia di clienti), a confrontarli con il contesto esterno (cosa succede nel territorio, quali tendenze emergono nel mercato di riferimento) e a decidere se cambiare qualcosa. Non è necessario cambiare ogni volta — è necessario decidere consapevolmente se tenere la rotta o correggere. Il secondo livello è la pianificazione degli scenari: ogni anno, prima dell'inizio della stagione principale, costruisci tre scenari — ottimistico, base e prudente — con le relative risposte operative. Chi ha già pensato alla risposta decide più velocemente quando lo scenario si materializza.</t>
  </si>
  <si>
    <t>Anticipi i cambiamenti invece di inseguirli, servi mercati diversi e hai dimostrato di saper trasformare gli imprevisti in opportunità. Questa capacità non è innata — è il risultato di abitudini sistematiche che vanno mantenute anche quando il business va bene e non c'è pressione esterna a stimolarle.
Il lavoro di manutenzione si articola su tre aree. La prima è il presidio dei segnali deboli: continua a dedicare tempo regolare all'osservazione del contesto — cambiamenti nelle abitudini dei clienti, movimenti nel territorio, tendenze emergenti nel mercato di riferimento. Chi smette di guardare quando tutto va bene è il primo a essere sorpreso quando qualcosa cambia. La seconda area è la pianificazione proattiva: ogni anno, aggiorna il tuo piano di scenari e verifica che le offerte per segmenti diversi siano ancora attuali e competitive. Un portfolio di offerte non aggiornato diventa obsoleto silenziosamente. La terza area è la condivisione: se hai collaboratori o partner, forma anche loro sulla logica dell'osservazione e dell'adattamento. La capacità di adattamento di un'attività non può dipendere solo da una persona.</t>
  </si>
  <si>
    <t>Fai due cose oggi, prima di andare avanti con qualsiasi altra priorità. La prima: identifica il processo più critico della tua attività — quello che, se si inceppasse o se tu non fossi disponibile, creerebbe il danno maggiore al cliente o all'operatività. Potrebbe essere la gestione delle prenotazioni, la risposta ai messaggi, la preparazione del prodotto o del servizio principale. Scrivilo: tre o quattro passaggi in ordine, con le informazioni necessarie per ciascuno. Non deve essere elaborato — deve esistere. Poi condividilo con qualcuno di cui ti fidi: un familiare, un collaboratore, un collega. Il solo atto di condividerlo riduce il rischio in modo significativo.
La seconda cosa: fai un backup dei dati clienti oggi. Non domani — oggi. Se tieni i contatti in un foglio Excel, caricalo su Google Drive o su un cloud qualsiasi. Se li hai solo sul telefono, sincronizzali. Se hai prenotazioni su una piattaforma, scarica l'archivio. I dati dei clienti sono uno degli asset più preziosi che hai — e uno dei più facili da perdere.
Queste due azioni, che richiedono meno di due ore in totale, cambiano già la struttura del rischio operativo della tua attività.</t>
  </si>
  <si>
    <t>Il sistema funziona finché sei presente e in forma. Regge il ritmo normale, ma non regge gli imprevisti — una settimana di assenza, un guasto, un momento di bassa energia. Il lavoro è costruire la delegabilità minima che permette all'attività di funzionare anche senza di te, almeno per un periodo breve.
Su quattro fronti. Primo: scrivi le procedure per le attività che si ripetono — non tutte, solo le cinque più critiche. Una procedura non deve essere un manuale: bastano i passaggi in ordine, le informazioni necessarie e dove si trovano le cose. Secondo: attiva un backup automatico per i dati clienti, le prenotazioni e i documenti operativi. Non deve costare nulla — Google Drive, iCloud o qualsiasi altro servizio gratuito va benissimo. Terzo: forma almeno una persona — un familiare, un collaboratore, un collega fidato — sui processi principali, in modo che possa coprire in caso di necessità. Non deve saper fare tutto: deve sapere cosa fare nelle prime 48 ore. Quarto: verifica che i tuoi strumenti digitali principali siano accessibili anche da altri in caso di necessità, senza passare obbligatoriamente da te per password e accessi.</t>
  </si>
  <si>
    <t>Hai le basi di un sistema che può funzionare anche senza di te per periodi brevi. Ci sono alcune procedure, alcuni strumenti, qualcuno che conosce almeno parte del funzionamento. Non è ancora abbastanza per un'assenza prolungata o un imprevisto serio, ma la direzione è quella giusta.
Il lavoro adesso è completare la copertura su tre aree. La prima è la documentazione: identifica le aree critiche che ancora non hanno una procedura scritta — quelle in cui se tu mancassi qualcosa si incepperebbe o andrebbe perso. Scrivi una procedura al mese: in sei mesi hai coperto le sei aree più importanti. La seconda area è la protezione dei dati: verifica che il backup sia automatico e regolare, che i dati dei clienti siano gestiti in conformità con il GDPR (consenso, modalità di archiviazione, diritto alla cancellazione), e che le password degli strumenti principali siano memorizzate in modo sicuro e accessibile a qualcuno di fiducia. La terza area è la sostenibilità operativa: ci sono processi che stai facendo in modo inefficiente per abitudine? Strumenti che potrebbero automatizzare lavoro ripetitivo? Questa è la fase in cui conviene investire in piccole ottimizzazioni che liberano tempo.</t>
  </si>
  <si>
    <t>La tua attività non dipende interamente da te. Hai strumenti che funzionano, procedure che reggono, almeno una persona che conosce il funzionamento principale. Questo è il tipo di solidità operativa che non si vede dall'esterno ma che si sente ogni volta che qualcosa va storto e regge comunque.
Il lavoro adesso è fare evolvere questo sistema da statico a adattivo — cioè un sistema che non solo regge, ma che impara. Su tre dimensioni. La prima è la raccolta strutturata dei dati operativi: traccia in modo sistematico i dati che il sistema genera — prenotazioni, no-show, tempi di risposta, picchi e valli operative, feedback ricevuti. Non per fare report: per avere segnali precoci di cosa sta cambiando. La seconda dimensione è il miglioramento continuo delle procedure: ogni problema operativo risolto dovrebbe portare a un aggiornamento della procedura, non solo alla soluzione del caso singolo. In questo modo il sistema migliora ogni volta che qualcosa va storto, invece di ricominciare da zero ogni volta. La terza dimensione è la sostenibilità ambientale: inizia a documentare le pratiche sostenibili già in uso e valuta quelle da adottare — non solo come adeguamento normativo, ma come elemento del posizionamento.</t>
  </si>
  <si>
    <t>Hai un sistema solido, delegabile, con procedure documentate e attenzione alla protezione dei dati. Sei nella posizione in cui un'assenza improvvisa o un imprevisto operativo non mettono a rischio l'attività. Questo è un risultato significativo che richiede manutenzione attiva per rimanere tale.
Il lavoro di manutenzione ha quattro dimensioni. La prima è l'aggiornamento delle procedure: ogni volta che l'attività cambia — nuovi servizi, nuovi strumenti, nuovi collaboratori — le procedure vanno aggiornate. Un sistema di procedure non aggiornato diventa obsoleto silenziosamente e crea confusione proprio quando viene usato. La seconda dimensione è il test periodico: almeno una volta l'anno, verifica che le procedure funzionino davvero — non solo che esistano. Chiedi a qualcuno di seguire una procedura senza il tuo supporto e osserva dove si inceppa. La terza è la sicurezza dei dati: aggiorna periodicamente le password, verifica che i backup funzionino, controlla che le autorizzazioni di accesso siano ancora appropriate. La quarta è l'evoluzione: un sistema maturo può diventare un sistema intelligente — che raccoglie dati, segnala anomalie e genera insight operativi utili per le decisioni. È questo il livello successivo.</t>
  </si>
  <si>
    <t>Identifica tre operatori del territorio con cui ha senso collaborare — non i migliori in assoluto, ma quelli più vicini a quello che fai tu e ai clienti che servi. Potrebbero essere un'altra struttura ricettiva che si rivolge a un segmento diverso dal tuo, un ristorante che i tuoi clienti frequentano, un'attività esperienziale che completa quello che offri. Il criterio è la complementarità, non la dimensione o la reputazione.
Poi fai una cosa concreta questa settimana: manda un cliente a uno di loro. Contattali prima e digli che lo fai — non in modo formale, ma con un messaggio diretto: "Ho un cliente che potrebbe interessarti, te lo mando io." Questo gesto crea un obbligo morale di reciprocità nell'altro senza che tu debba chiederlo esplicitamente. La rete non si costruisce con una riunione o con un accordo firmato: si costruisce con un referral alla volta.
Parallelamente, fatti vedere: partecipa al prossimo evento locale, anche solo per un'ora. Presentati all'associazione di categoria o all'ente più rilevante per la tua attività. Non per vendere niente — per esistere nella rete locale. Chi non si vede non esiste, indipendentemente da quanto sia bravo nel suo lavoro.</t>
  </si>
  <si>
    <t>Hai alcune connessioni nel territorio, ma non ancora una rete strutturata che genera valore in modo attivo — cioè referral reciproci, informazioni che circolano, collaborazioni con un accordo chiaro.
Il lavoro si articola su tre fronti. Il primo è la strutturazione delle relazioni esistenti: prendi le connessioni che già hai e definisci con almeno due o tre di loro un accordo esplicito — anche solo verbale — su chi manda cosa a chi, quando e con quale logica. Un accordo informale ma chiaro vale più di un contratto non discusso. Il secondo fronte è la partecipazione: scegli un'iniziativa locale — un evento, un tavolo di lavoro, un'associazione, un gruppo informale di operatori — e partecipaivi con regolarità. Non serve essere protagonisti: serve essere presenti in modo costante nel tempo. La presenza continuativa costruisce reputazione più di qualsiasi singola azione. Il terzo fronte è l'informazione: inizia a cercare attivamente i bandi, i progetti e le decisioni che riguardano il territorio. Queste informazioni circolano prima attraverso la rete che attraverso i canali ufficiali. Chi è connesso le intercetta in anticipo.</t>
  </si>
  <si>
    <t>Sei presente nel territorio e hai relazioni che generano un certo valore. Non è ancora la rete densa e reciproca che funziona anche quando non sei tu a spingere, ma ci sono collaborazioni attive e una reputazione riconoscibile.
Il lavoro adesso è su tre aree. La prima è la formalizzazione: con i due o tre partner con cui collabori già in modo informale, proponi di definire l'accordo in modo più esplicito — non necessariamente un contratto, ma almeno una conversazione in cui si chiarisce chi fa cosa, come si mandano i clienti, come si gestiscono le situazioni complesse. La chiarezza protegge le relazioni. La seconda area è la presenza istituzionale: fatti conoscere dagli enti e dalle organizzazioni che possono influenzare le dinamiche del territorio — comune, pro loco, associazioni di categoria, enti del turismo. Non per chiedere nulla in particolare, ma per essere presente quando si prendono decisioni che ti riguardano. La terza area è la reputazione nella comunità: come ti percepiscono le persone del posto? Sei visto come un operatore che porta valore al territorio o come qualcuno che prende senza dare? Questa percezione ha un impatto concreto sulla qualità delle relazioni e delle opportunità che arrivano.</t>
  </si>
  <si>
    <t>Sei radicato nel territorio e le tue relazioni generano valore concreto — referral, informazioni in anticipo, collaborazioni su misura. Il radicamento è uno degli asset più difficili da costruire e da replicare, e uno dei più facili da perdere se viene dato per scontato.
Il lavoro adesso è rendere questo vantaggio più strutturato e meno dipendente dalla tua presenza attiva. Su tre fronti. Il primo è la documentazione delle collaborazioni: scrivi le partnership attive, i referral reciproci, gli accordi informali. Non perché debbano diventare contratti, ma perché le relazioni che non vengono mai esplicitare tendono a indebolirsi quando cambiano le persone o le circostanze. Il secondo fronte è il presidio delle occasioni strategiche: partecipa con regolarità alle occasioni in cui si prendono decisioni sul territorio — tavoli di co-progettazione, iniziative di sviluppo locale, eventi di settore. Chi è presente quando si costruisce il futuro del territorio ha più possibilità di influenzarlo. Il terzo fronte è la costruzione della reputazione come risorsa: come puoi essere ancora più utile agli altri operatori e alla comunità? Chi è percepito come risorsa genera ritorni che non può generare chi è percepito solo come concorrente.</t>
  </si>
  <si>
    <t>Sei un nodo della rete locale. Le relazioni che hai costruito generano valore in modo quasi autonomo — clienti che arrivano per referral, informazioni che circolano, opportunità che vengono a te. Questa posizione è il risultato di anni di presenza, reciprocità e affidabilità, e richiede cura attiva per mantenersi.
Il lavoro di manutenzione ha tre dimensioni. La prima è la coltivazione regolare: dedica tempo sistematico — anche solo un'ora alla settimana — a mantenere attive le relazioni principali. Non aspettare che succeda qualcosa per ricontattare un partner: mandagli un cliente, condividi un'informazione utile, partecipa alle sue iniziative. Le reti si mantengono con l'alimentazione costante, non con le grandi occasioni. La seconda dimensione è l'evoluzione delle collaborazioni: le relazioni che funzionano possono essere formalizzate in collaborazioni più strutturate — accordi di referral espliciti, co-progettazione di offerte, partecipazione comune a bandi o iniziative territoriali. La terza dimensione è la trasmissibilità: se hai collaboratori, assicurati che conoscano le relazioni principali e sappiano come mantenerle. Una rete che dipende solo da te non è ancora pienamente un asset dell'attività.</t>
  </si>
  <si>
    <t>Fai una cosa concreta oggi: leggi le ultime venti recensioni della tua attività — tutte, incluse quelle negative e quelle mediocri — non per rispondere, non per difenderti, ma per cercare un pattern. Stampa o copia le recensioni su un foglio e inizia a evidenziare le parole che tornano più di una volta: sia quelle positive che quelle che indicano un'aspettativa delusa o una sorpresa inattesa.
C'è qualcosa che torna più di una volta? Una parola, una situazione, un tipo di esperienza? Quel pattern è un'informazione che i tuoi clienti ti stanno dando gratuitamente — e che la maggior parte degli operatori ignora perché non dedica mai un'ora a leggerle tutte insieme invece di rispondere una alla volta.
Poi fai una seconda cosa: identifica due fonti da seguire con regolarità — un blog di settore, una newsletter, un gruppo di operatori simili a te. Non per diventare esperti di comunicazione digitale o di revenue management, ma per avere un flusso regolare di segnali su cosa sta cambiando nel contesto in cui lavori. Anche dieci minuti a settimana su due fonti scelte con cura cambiano la qualità delle decisioni nel tempo.</t>
  </si>
  <si>
    <t>C'è curiosità nella tua attività, ma l'apprendimento è ancora episodico — succede quando c'è tempo, quando capita un'occasione, non come pratica sistematica e deliberata.
Il lavoro è costruire una routine minima che non richieda grandi investimenti di tempo ma che produca risultati cumulativi nel tempo. Su quattro abitudini concrete. Prima: leggi tutte le recensioni una volta al mese — non per rispondere, ma per estrarre insight. Tieni un documento in cui annoti i pattern che emergono mese per mese. Seconda: ogni trimestre, dedica un'ora a guardare cosa fa un competitor — non per copiarlo, ma per capire cosa sta funzionando nel mercato e cosa no. Terza: segui almeno un evento di settore all'anno — una fiera, una conferenza, un workshop. Non per il certificato: per il confronto con chi fa cose simili in contesti diversi. Quarta: quando cambi qualcosa nella tua attività — un servizio, un prezzo, una procedura — prendi nota del perché e del risultato. In dodici mesi avrai un archivio di esperimenti con risultati misurabili che vale molto di più di qualsiasi corso.</t>
  </si>
  <si>
    <t>Impari in modo abbastanza regolare e le informazioni che raccogli influenzano le tue decisioni. Non è ancora un ciclo strutturato in cui ogni osservazione produce un'azione misurabile, ma la curiosità c'è e si traduce in cambiamenti concreti.
Il lavoro adesso è costruire il ciclo completo: osserva → analizza → decidi → misura → aggiorna. Concretamente, su tre fronti. Primo: struttura la raccolta dei feedback clienti in modo sistematico — non solo le recensioni pubbliche, ma anche i commenti informali, le richieste che tornano, le domande che vengono fatte più spesso. Tieni un registro: in sei mesi emerge una mappa chiara di quello che funziona e quello che delude. Secondo: quando provi qualcosa di nuovo — una nuova offerta, un nuovo canale, una nuova procedura — definisci prima come misurerai se ha funzionato. Senza un criterio di successo definito in anticipo, è difficile imparare da quello che succede. Terzo: dedica tempo periodico al benchmarking esterno — cosa fanno gli operatori che ammiri? Cosa puoi portare a casa dal confronto con chi lavora in contesti diversi dal tuo?</t>
  </si>
  <si>
    <t>Impari in modo attivo e sistematico. Ascolti i clienti con metodo, ti confronti con chi fa cose simili e sperimenti con intenzione. Questa è una delle capacità più difficili da costruire nelle micro-imprese, dove la pressione del quotidiano tende a vincere sull'osservazione e sulla sperimentazione.
Il lavoro adesso ha due dimensioni. La prima è la condivisione dell'approccio: se hai collaboratori, forma anche loro sullo stesso metodo — come si raccolgono i feedback, come si testano le ipotesi, come si porta un'osservazione a una decisione. Un'attività che impara collettivamente è strutturalmente più robusta di una persona che impara bene da sola. La seconda dimensione è l'accelerazione: con un sistema di apprendimento funzionante, puoi permetterti di sperimentare in modo più ambizioso — nuovi segmenti, nuovi format, nuove proposte. Definisci un budget e un tempo per gli esperimenti — anche piccolo, anche breve — e usalo con metodo: un'ipotesi chiara, un criterio di successo definito, una misura del risultato, una decisione conseguente. Chi sperimenta con metodo impara più velocemente di chi sperimenta per caso.</t>
  </si>
  <si>
    <t>Hai una cultura dell'apprendimento attiva e strutturata. Ogni ciclo cambia qualcosa in base a quello che hai osservato, testato, imparato. Non stai solo reagendo al mercato — stai contribuendo a interpretarlo prima degli altri. Questa capacità è uno degli asset più difficili da costruire e più facili da perdere se non viene mantenuta con la stessa disciplina con cui è stata sviluppata.
Il lavoro di manutenzione ha quattro dimensioni. La prima è la continuità della pratica: mantieni le abitudini di osservazione anche nei periodi in cui tutto va bene e non c'è pressione esterna a stimolarlo. Chi smette di guardare quando è in forma è il primo a essere sorpreso quando qualcosa cambia. La seconda dimensione è la documentazione: trascrivi quello che impari in modo che non rimanga solo nella tua testa — un documento di apprendimento annuale, anche informale, che raccoglie cosa hai cambiato, perché e con che risultato. La terza è la condivisione: contribuisci attivamente alla conoscenza collettiva del tuo settore e del tuo territorio — in reti di operatori, in eventi, in conversazioni con colleghi. Chi insegna impara due volte. La quarta è l'evoluzione del metodo stesso: ogni anno, rivedi come stai imparando. Il sistema di apprendimento che funzionava tre anni fa potrebbe aver bisogno di un aggiornamento.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</si>
</sst>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4">
    <font>
      <sz val="11"/>
      <color theme="1"/>
      <name val="Calibri"/>
      <family val="2"/>
      <charset val="1"/>
    </font>
    <font>
      <b/>
      <sz val="18"/>
      <color rgb="FF548235"/>
      <name val="Georgia"/>
      <charset val="1"/>
    </font>
    <font>
      <i/>
      <sz val="12"/>
      <color rgb="FF666666"/>
      <name val="Georgia"/>
      <charset val="1"/>
    </font>
    <font>
      <b/>
      <sz val="11"/>
      <color rgb="FF333333"/>
      <name val="Georgia"/>
      <charset val="1"/>
    </font>
    <font>
      <sz val="11"/>
      <color rgb="FF333333"/>
      <name val="Georgia"/>
      <charset val="1"/>
    </font>
    <font>
      <b/>
      <sz val="14"/>
      <color rgb="FF1F4E79"/>
      <name val="Georgia"/>
      <charset val="1"/>
    </font>
    <font>
      <i/>
      <sz val="10"/>
      <color rgb="FF777777"/>
      <name val="Georgia"/>
      <charset val="1"/>
    </font>
    <font>
      <b/>
      <sz val="10"/>
      <color rgb="FFFFFFFF"/>
      <name val="Georgia"/>
      <charset val="1"/>
    </font>
    <font>
      <sz val="12"/>
      <color rgb="FF0000FF"/>
      <name val="Georgia"/>
      <charset val="1"/>
    </font>
    <font>
      <sz val="10"/>
      <color rgb="FF555555"/>
      <name val="Georgia"/>
      <charset val="1"/>
    </font>
    <font>
      <b/>
      <sz val="14"/>
      <color rgb="FF548235"/>
      <name val="Georgia"/>
      <charset val="1"/>
    </font>
    <font>
      <b/>
      <sz val="11"/>
      <color rgb="FFFFFFFF"/>
      <name val="Arial"/>
      <charset val="1"/>
    </font>
    <font>
      <b/>
      <sz val="9"/>
      <color rgb="FFFFFFFF"/>
      <name val="Arial"/>
      <charset val="1"/>
    </font>
    <font>
      <b/>
      <sz val="10"/>
      <color rgb="FF1A1A1A"/>
      <name val="Arial"/>
      <charset val="1"/>
    </font>
    <font>
      <b/>
      <sz val="11"/>
      <color rgb="FF1A3A5C"/>
      <name val="Arial"/>
      <charset val="1"/>
    </font>
    <font>
      <sz val="10"/>
      <color rgb="FF1A1A1A"/>
      <name val="Arial"/>
      <charset val="1"/>
    </font>
    <font>
      <b/>
      <sz val="10"/>
      <color rgb="FFFFFFFF"/>
      <name val="Arial"/>
      <charset val="1"/>
    </font>
    <font>
      <b/>
      <sz val="14"/>
      <color rgb="FF1A3A5C"/>
      <name val="Arial"/>
      <charset val="1"/>
    </font>
    <font>
      <sz val="10"/>
      <name val="Arial"/>
      <charset val="1"/>
    </font>
    <font>
      <sz val="9"/>
      <color rgb="FF1A1A1A"/>
      <name val="Arial"/>
      <charset val="1"/>
    </font>
    <font>
      <b/>
      <sz val="10"/>
      <color rgb="FF2E7D32"/>
      <name val="Arial"/>
      <charset val="1"/>
    </font>
    <font>
      <i/>
      <sz val="9"/>
      <color rgb="FF8A8780"/>
      <name val="Arial"/>
      <charset val="1"/>
    </font>
    <font>
      <b/>
      <sz val="10"/>
      <color rgb="FF4A4740"/>
      <name val="Arial"/>
      <charset val="1"/>
    </font>
    <font>
      <sz val="10"/>
      <color rgb="FF1C1A17"/>
      <name val="Arial"/>
      <charset val="1"/>
    </font>
    <font>
      <sz val="10"/>
      <color rgb="FF4A4740"/>
      <name val="Arial"/>
      <charset val="1"/>
    </font>
    <font>
      <b/>
      <sz val="12"/>
      <color rgb="FFFFFFFF"/>
      <name val="Arial"/>
      <charset val="1"/>
    </font>
    <font>
      <i/>
      <sz val="10"/>
      <color rgb="FF8A8780"/>
      <name val="Arial"/>
      <charset val="1"/>
    </font>
    <font>
      <b/>
      <sz val="11"/>
      <color rgb="FFB8174F"/>
      <name val="Arial"/>
      <charset val="1"/>
    </font>
    <font>
      <sz val="11"/>
      <color rgb="FF4A4740"/>
      <name val="Arial"/>
      <charset val="1"/>
    </font>
    <font>
      <sz val="11"/>
      <color rgb="FF1C1A17"/>
      <name val="Arial"/>
      <charset val="1"/>
    </font>
    <font>
      <b/>
      <sz val="11"/>
      <color rgb="FF8B1A1A"/>
      <name val="Arial"/>
      <charset val="1"/>
    </font>
    <font>
      <b/>
      <sz val="11"/>
      <color rgb="FF8A6A00"/>
      <name val="Arial"/>
      <charset val="1"/>
    </font>
    <font>
      <b/>
      <sz val="11"/>
      <color rgb="FF1A5E1A"/>
      <name val="Arial"/>
      <charset val="1"/>
    </font>
    <font>
      <b/>
      <sz val="11"/>
      <color rgb="FF0D3D0D"/>
      <name val="Arial"/>
      <charset val="1"/>
    </font>
  </fonts>
  <fills count="23">
    <fill>
      <patternFill patternType="none"/>
    </fill>
    <fill>
      <patternFill patternType="gray125"/>
    </fill>
    <fill>
      <patternFill patternType="solid">
        <fgColor rgb="FFE2EFDA"/>
        <bgColor rgb="FFDDF0DD"/>
      </patternFill>
    </fill>
    <fill>
      <patternFill patternType="solid">
        <fgColor rgb="FF548235"/>
        <bgColor rgb="FF2E7D32"/>
      </patternFill>
    </fill>
    <fill>
      <patternFill patternType="solid">
        <fgColor theme="0"/>
        <bgColor rgb="FFFFF8E7"/>
      </patternFill>
    </fill>
    <fill>
      <patternFill patternType="solid">
        <fgColor rgb="FF1A3A5C"/>
        <bgColor rgb="FF2E4057"/>
      </patternFill>
    </fill>
    <fill>
      <patternFill patternType="solid">
        <fgColor rgb="FF2E4057"/>
        <bgColor rgb="FF1A3A5C"/>
      </patternFill>
    </fill>
    <fill>
      <patternFill patternType="solid">
        <fgColor rgb="FFF5F5F5"/>
        <bgColor rgb="FFF5F2EC"/>
      </patternFill>
    </fill>
    <fill>
      <patternFill patternType="solid">
        <fgColor rgb="FFC00000"/>
        <bgColor rgb="FF8B0000"/>
      </patternFill>
    </fill>
    <fill>
      <patternFill patternType="solid">
        <fgColor rgb="FFE3F2FD"/>
        <bgColor rgb="FFEEF7EE"/>
      </patternFill>
    </fill>
    <fill>
      <patternFill patternType="solid">
        <fgColor rgb="FF8B0000"/>
        <bgColor rgb="FF8B1A1A"/>
      </patternFill>
    </fill>
    <fill>
      <patternFill patternType="solid">
        <fgColor rgb="FFFDECEC"/>
        <bgColor rgb="FFFDECEA"/>
      </patternFill>
    </fill>
    <fill>
      <patternFill patternType="solid">
        <fgColor rgb="FF2E7D32"/>
        <bgColor rgb="FF548235"/>
      </patternFill>
    </fill>
    <fill>
      <patternFill patternType="solid">
        <fgColor rgb="FF1B5E20"/>
        <bgColor rgb="FF1A5E1A"/>
      </patternFill>
    </fill>
    <fill>
      <patternFill patternType="solid">
        <fgColor rgb="FFF1F8E9"/>
        <bgColor rgb="FFEEF7EE"/>
      </patternFill>
    </fill>
    <fill>
      <patternFill patternType="solid">
        <fgColor rgb="FFB8174F"/>
        <bgColor rgb="FF8B1A1A"/>
      </patternFill>
    </fill>
    <fill>
      <patternFill patternType="solid">
        <fgColor rgb="FFF5F2EC"/>
        <bgColor rgb="FFF5F5F5"/>
      </patternFill>
    </fill>
    <fill>
      <patternFill patternType="solid">
        <fgColor rgb="FF2C2A27"/>
        <bgColor rgb="FF333333"/>
      </patternFill>
    </fill>
    <fill>
      <patternFill patternType="solid">
        <fgColor rgb="FFFFF8E7"/>
        <bgColor rgb="FFF5F2EC"/>
      </patternFill>
    </fill>
    <fill>
      <patternFill patternType="solid">
        <fgColor rgb="FFFDECEA"/>
        <bgColor rgb="FFFDECEC"/>
      </patternFill>
    </fill>
    <fill>
      <patternFill patternType="solid">
        <fgColor rgb="FFEEF7EE"/>
        <bgColor rgb="FFF1F8E9"/>
      </patternFill>
    </fill>
    <fill>
      <patternFill patternType="solid">
        <fgColor rgb="FFDDF0DD"/>
        <bgColor rgb="FFE2EFDA"/>
      </patternFill>
    </fill>
    <fill>
      <patternFill patternType="solid">
        <fgColor rgb="FFFDE8EF"/>
        <bgColor rgb="FFFDECEC"/>
      </patternFill>
    </fill>
  </fills>
  <borders count="14">
    <border>
      <left/>
      <right/>
      <top/>
      <bottom/>
      <diagonal/>
    </border>
    <border>
      <left style="thin">
        <color rgb="FFDDDDDD"/>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AAAAAA"/>
      </left>
      <right style="thin">
        <color rgb="FFAAAAAA"/>
      </right>
      <top style="thin">
        <color rgb="FFAAAAAA"/>
      </top>
      <bottom style="thin">
        <color rgb="FFAAAAAA"/>
      </bottom>
      <diagonal/>
    </border>
    <border>
      <left style="medium">
        <color rgb="FF1A3A5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medium">
        <color rgb="FF2E75B6"/>
      </left>
      <right style="thin">
        <color rgb="FFCCCCCC"/>
      </right>
      <top style="thin">
        <color rgb="FFCCCCCC"/>
      </top>
      <bottom style="thin">
        <color rgb="FFCCCCCC"/>
      </bottom>
      <diagonal/>
    </border>
    <border>
      <left style="medium">
        <color rgb="FFC00000"/>
      </left>
      <right style="thin">
        <color rgb="FFCCCCCC"/>
      </right>
      <top style="thin">
        <color rgb="FFCCCCCC"/>
      </top>
      <bottom style="thin">
        <color rgb="FFCCCCCC"/>
      </bottom>
      <diagonal/>
    </border>
    <border>
      <left style="medium">
        <color rgb="FF2E7D32"/>
      </left>
      <right style="thin">
        <color rgb="FFCCCCCC"/>
      </right>
      <top style="thin">
        <color rgb="FFCCCCCC"/>
      </top>
      <bottom style="thin">
        <color rgb="FFCCCCCC"/>
      </bottom>
      <diagonal/>
    </border>
    <border>
      <left style="thin">
        <color rgb="FFB8174F"/>
      </left>
      <right/>
      <top style="thin">
        <color rgb="FFB8174F"/>
      </top>
      <bottom style="thin">
        <color rgb="FFB8174F"/>
      </bottom>
      <diagonal/>
    </border>
    <border>
      <left style="thin">
        <color rgb="FF000000"/>
      </left>
      <right style="thin">
        <color rgb="FF000000"/>
      </right>
      <top style="thin">
        <color rgb="FF000000"/>
      </top>
      <bottom style="thin">
        <color rgb="FF000000"/>
      </bottom>
      <diagonal/>
    </border>
    <border>
      <left style="thin">
        <color rgb="FFDDDDDD"/>
      </left>
      <right/>
      <top style="thin">
        <color rgb="FFDDDDDD"/>
      </top>
      <bottom/>
      <diagonal/>
    </border>
    <border>
      <left style="thin">
        <color rgb="FF000000"/>
      </left>
      <right/>
      <top style="thin">
        <color rgb="FF000000"/>
      </top>
      <bottom style="thin">
        <color rgb="FF000000"/>
      </bottom>
      <diagonal/>
    </border>
  </borders>
  <cellStyleXfs count="1">
    <xf numFmtId="0" fontId="0" fillId="0" borderId="0"/>
  </cellStyleXfs>
  <cellXfs count="105">
    <xf numFmtId="0" fontId="0" fillId="0" borderId="0" xfId="0"/>
    <xf numFmtId="0" fontId="3" fillId="2" borderId="2" xfId="0" applyFont="1" applyFill="1" applyBorder="1" applyAlignment="1">
      <alignment vertical="top" wrapText="1"/>
    </xf>
    <xf numFmtId="0" fontId="4" fillId="2" borderId="2" xfId="0" applyFont="1" applyFill="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7" fillId="3" borderId="2" xfId="0" applyFont="1" applyFill="1" applyBorder="1" applyAlignment="1">
      <alignment horizontal="center" vertical="center" wrapText="1"/>
    </xf>
    <xf numFmtId="0" fontId="8" fillId="0" borderId="2" xfId="0" applyFont="1" applyBorder="1" applyAlignment="1">
      <alignment horizontal="center" vertical="center"/>
    </xf>
    <xf numFmtId="0" fontId="9" fillId="0" borderId="2" xfId="0" applyFont="1" applyBorder="1" applyAlignment="1">
      <alignment vertical="top" wrapText="1"/>
    </xf>
    <xf numFmtId="0" fontId="8" fillId="0" borderId="0" xfId="0" applyFont="1" applyAlignment="1">
      <alignment vertical="top" wrapText="1"/>
    </xf>
    <xf numFmtId="0" fontId="3" fillId="0" borderId="2" xfId="0" applyFont="1" applyBorder="1" applyAlignment="1">
      <alignment horizontal="center" vertical="center"/>
    </xf>
    <xf numFmtId="0" fontId="6" fillId="0" borderId="2" xfId="0" applyFont="1" applyBorder="1" applyAlignment="1">
      <alignment vertical="top" wrapText="1"/>
    </xf>
    <xf numFmtId="0" fontId="10" fillId="0" borderId="2"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3" fillId="4" borderId="2" xfId="0" applyFont="1" applyFill="1" applyBorder="1" applyAlignment="1">
      <alignment horizontal="center" vertical="center"/>
    </xf>
    <xf numFmtId="0" fontId="10" fillId="0" borderId="2" xfId="0" applyFont="1" applyBorder="1" applyAlignment="1">
      <alignment vertical="top" wrapText="1"/>
    </xf>
    <xf numFmtId="0" fontId="1" fillId="0" borderId="2" xfId="0" applyFont="1" applyBorder="1" applyAlignment="1">
      <alignment horizontal="center" vertical="center"/>
    </xf>
    <xf numFmtId="0" fontId="13" fillId="7" borderId="4" xfId="0" applyFont="1" applyFill="1" applyBorder="1" applyAlignment="1">
      <alignment horizontal="left" vertical="top" wrapText="1"/>
    </xf>
    <xf numFmtId="2" fontId="14" fillId="7" borderId="5" xfId="0" applyNumberFormat="1" applyFont="1" applyFill="1" applyBorder="1" applyAlignment="1">
      <alignment horizontal="center" vertical="center"/>
    </xf>
    <xf numFmtId="0" fontId="12" fillId="8" borderId="5" xfId="0" applyFont="1" applyFill="1" applyBorder="1" applyAlignment="1">
      <alignment horizontal="center" vertical="center"/>
    </xf>
    <xf numFmtId="0" fontId="18" fillId="0" borderId="0" xfId="0" applyFont="1" applyBorder="1"/>
    <xf numFmtId="0" fontId="13" fillId="7" borderId="7" xfId="0" applyFont="1" applyFill="1" applyBorder="1" applyAlignment="1">
      <alignment horizontal="left" vertical="top" wrapText="1"/>
    </xf>
    <xf numFmtId="0" fontId="12" fillId="7" borderId="5" xfId="0" applyFont="1" applyFill="1" applyBorder="1" applyAlignment="1">
      <alignment horizontal="center" vertical="center" wrapText="1"/>
    </xf>
    <xf numFmtId="0" fontId="19" fillId="7" borderId="5" xfId="0" applyFont="1" applyFill="1" applyBorder="1" applyAlignment="1">
      <alignment horizontal="center" vertical="center"/>
    </xf>
    <xf numFmtId="0" fontId="15" fillId="7" borderId="5" xfId="0" applyFont="1" applyFill="1" applyBorder="1" applyAlignment="1">
      <alignment horizontal="left" vertical="top" wrapText="1"/>
    </xf>
    <xf numFmtId="2" fontId="15" fillId="7" borderId="5" xfId="0" applyNumberFormat="1" applyFont="1" applyFill="1" applyBorder="1" applyAlignment="1">
      <alignment horizontal="center" vertical="center"/>
    </xf>
    <xf numFmtId="164" fontId="13" fillId="7" borderId="5" xfId="0" applyNumberFormat="1" applyFont="1" applyFill="1" applyBorder="1" applyAlignment="1">
      <alignment horizontal="center" vertical="center"/>
    </xf>
    <xf numFmtId="0" fontId="13" fillId="11" borderId="8" xfId="0" applyFont="1" applyFill="1" applyBorder="1" applyAlignment="1">
      <alignment horizontal="left" vertical="top" wrapText="1"/>
    </xf>
    <xf numFmtId="0" fontId="13" fillId="14" borderId="9" xfId="0" applyFont="1" applyFill="1" applyBorder="1" applyAlignment="1">
      <alignment horizontal="left" vertical="top" wrapText="1"/>
    </xf>
    <xf numFmtId="2" fontId="20" fillId="14" borderId="5" xfId="0" applyNumberFormat="1" applyFont="1" applyFill="1" applyBorder="1" applyAlignment="1">
      <alignment horizontal="center" vertical="center"/>
    </xf>
    <xf numFmtId="0" fontId="12" fillId="12" borderId="5" xfId="0" applyFont="1" applyFill="1" applyBorder="1" applyAlignment="1">
      <alignment horizontal="center" vertical="center" wrapText="1"/>
    </xf>
    <xf numFmtId="0" fontId="11" fillId="15" borderId="10" xfId="0" applyFont="1" applyFill="1" applyBorder="1" applyAlignment="1">
      <alignment horizontal="left" vertical="top"/>
    </xf>
    <xf numFmtId="0" fontId="21" fillId="16" borderId="0" xfId="0" applyFont="1" applyFill="1" applyAlignment="1">
      <alignment horizontal="left" vertical="top" wrapText="1"/>
    </xf>
    <xf numFmtId="0" fontId="11" fillId="17" borderId="10" xfId="0" applyFont="1" applyFill="1" applyBorder="1" applyAlignment="1">
      <alignment horizontal="left" vertical="top"/>
    </xf>
    <xf numFmtId="0" fontId="16" fillId="17" borderId="2" xfId="0" applyFont="1" applyFill="1" applyBorder="1" applyAlignment="1">
      <alignment horizontal="center" vertical="center"/>
    </xf>
    <xf numFmtId="0" fontId="22" fillId="16" borderId="2" xfId="0" applyFont="1" applyFill="1" applyBorder="1" applyAlignment="1">
      <alignment horizontal="left" vertical="top" wrapText="1"/>
    </xf>
    <xf numFmtId="0" fontId="23" fillId="16" borderId="2" xfId="0" applyFont="1" applyFill="1" applyBorder="1" applyAlignment="1">
      <alignment horizontal="center" vertical="center"/>
    </xf>
    <xf numFmtId="0" fontId="21" fillId="16" borderId="2" xfId="0" applyFont="1" applyFill="1" applyBorder="1" applyAlignment="1">
      <alignment horizontal="left" vertical="top" wrapText="1"/>
    </xf>
    <xf numFmtId="0" fontId="22" fillId="4" borderId="2" xfId="0" applyFont="1" applyFill="1" applyBorder="1" applyAlignment="1">
      <alignment horizontal="left" vertical="top" wrapText="1"/>
    </xf>
    <xf numFmtId="0" fontId="23" fillId="4" borderId="2" xfId="0" applyFont="1" applyFill="1" applyBorder="1" applyAlignment="1">
      <alignment horizontal="center" vertical="center"/>
    </xf>
    <xf numFmtId="0" fontId="21" fillId="4" borderId="2" xfId="0" applyFont="1" applyFill="1" applyBorder="1" applyAlignment="1">
      <alignment horizontal="left" vertical="top" wrapText="1"/>
    </xf>
    <xf numFmtId="0" fontId="24" fillId="16" borderId="2" xfId="0" applyFont="1" applyFill="1" applyBorder="1" applyAlignment="1">
      <alignment horizontal="left" vertical="top" wrapText="1"/>
    </xf>
    <xf numFmtId="0" fontId="23" fillId="16" borderId="2" xfId="0" applyFont="1" applyFill="1" applyBorder="1" applyAlignment="1">
      <alignment horizontal="left" vertical="top" wrapText="1"/>
    </xf>
    <xf numFmtId="0" fontId="24" fillId="4" borderId="2" xfId="0" applyFont="1" applyFill="1" applyBorder="1" applyAlignment="1">
      <alignment horizontal="left" vertical="top" wrapText="1"/>
    </xf>
    <xf numFmtId="0" fontId="23" fillId="4" borderId="2" xfId="0" applyFont="1" applyFill="1" applyBorder="1" applyAlignment="1">
      <alignment horizontal="left" vertical="top" wrapText="1"/>
    </xf>
    <xf numFmtId="0" fontId="0" fillId="0" borderId="0" xfId="0" applyFont="1"/>
    <xf numFmtId="0" fontId="11" fillId="17" borderId="2" xfId="0" applyFont="1" applyFill="1" applyBorder="1" applyAlignment="1">
      <alignment horizontal="center" vertical="center" wrapText="1"/>
    </xf>
    <xf numFmtId="0" fontId="27" fillId="16" borderId="2" xfId="0" applyFont="1" applyFill="1" applyBorder="1" applyAlignment="1">
      <alignment horizontal="left" vertical="top" wrapText="1"/>
    </xf>
    <xf numFmtId="0" fontId="28" fillId="16" borderId="2" xfId="0" applyFont="1" applyFill="1" applyBorder="1" applyAlignment="1">
      <alignment horizontal="left" vertical="top" wrapText="1"/>
    </xf>
    <xf numFmtId="0" fontId="29" fillId="16" borderId="2" xfId="0" applyFont="1" applyFill="1" applyBorder="1" applyAlignment="1">
      <alignment horizontal="left" vertical="top" wrapText="1"/>
    </xf>
    <xf numFmtId="0" fontId="27" fillId="4" borderId="2" xfId="0" applyFont="1" applyFill="1" applyBorder="1" applyAlignment="1">
      <alignment horizontal="left" vertical="top" wrapText="1"/>
    </xf>
    <xf numFmtId="0" fontId="28" fillId="4" borderId="2" xfId="0" applyFont="1" applyFill="1" applyBorder="1" applyAlignment="1">
      <alignment horizontal="left" vertical="top" wrapText="1"/>
    </xf>
    <xf numFmtId="0" fontId="29" fillId="4" borderId="2" xfId="0" applyFont="1" applyFill="1" applyBorder="1" applyAlignment="1">
      <alignment horizontal="left" vertical="top" wrapText="1"/>
    </xf>
    <xf numFmtId="0" fontId="26" fillId="16" borderId="0" xfId="0" applyFont="1" applyFill="1" applyAlignment="1">
      <alignment horizontal="left" vertical="top" wrapText="1"/>
    </xf>
    <xf numFmtId="0" fontId="30" fillId="19" borderId="2" xfId="0" applyFont="1" applyFill="1" applyBorder="1" applyAlignment="1">
      <alignment horizontal="left" vertical="top" wrapText="1"/>
    </xf>
    <xf numFmtId="0" fontId="29" fillId="19" borderId="2" xfId="0" applyFont="1" applyFill="1" applyBorder="1" applyAlignment="1">
      <alignment horizontal="left" vertical="top" wrapText="1"/>
    </xf>
    <xf numFmtId="0" fontId="31" fillId="18" borderId="2" xfId="0" applyFont="1" applyFill="1" applyBorder="1" applyAlignment="1">
      <alignment horizontal="left" vertical="top" wrapText="1"/>
    </xf>
    <xf numFmtId="0" fontId="29" fillId="18" borderId="2" xfId="0" applyFont="1" applyFill="1" applyBorder="1" applyAlignment="1">
      <alignment horizontal="left" vertical="top" wrapText="1"/>
    </xf>
    <xf numFmtId="0" fontId="32" fillId="20" borderId="2" xfId="0" applyFont="1" applyFill="1" applyBorder="1" applyAlignment="1">
      <alignment horizontal="left" vertical="top" wrapText="1"/>
    </xf>
    <xf numFmtId="0" fontId="29" fillId="20" borderId="2" xfId="0" applyFont="1" applyFill="1" applyBorder="1" applyAlignment="1">
      <alignment horizontal="left" vertical="top" wrapText="1"/>
    </xf>
    <xf numFmtId="0" fontId="33" fillId="21" borderId="2" xfId="0" applyFont="1" applyFill="1" applyBorder="1" applyAlignment="1">
      <alignment horizontal="left" vertical="top" wrapText="1"/>
    </xf>
    <xf numFmtId="0" fontId="29" fillId="21" borderId="2" xfId="0" applyFont="1" applyFill="1" applyBorder="1" applyAlignment="1">
      <alignment horizontal="left" vertical="top" wrapText="1"/>
    </xf>
    <xf numFmtId="0" fontId="27" fillId="22" borderId="2" xfId="0" applyFont="1" applyFill="1" applyBorder="1" applyAlignment="1">
      <alignment horizontal="left" vertical="top" wrapText="1"/>
    </xf>
    <xf numFmtId="0" fontId="29" fillId="22" borderId="2" xfId="0" applyFont="1" applyFill="1" applyBorder="1" applyAlignment="1">
      <alignment horizontal="left" vertical="top" wrapText="1"/>
    </xf>
    <xf numFmtId="0" fontId="0" fillId="0" borderId="0" xfId="0" applyFont="1" applyAlignment="1">
      <alignment wrapText="1"/>
    </xf>
    <xf numFmtId="0" fontId="6" fillId="0" borderId="1" xfId="0" applyFont="1" applyBorder="1" applyAlignment="1">
      <alignment vertical="top" wrapText="1"/>
    </xf>
    <xf numFmtId="0" fontId="12" fillId="13" borderId="3" xfId="0" applyFont="1" applyFill="1" applyBorder="1" applyAlignment="1">
      <alignment horizontal="center" vertical="center"/>
    </xf>
    <xf numFmtId="0" fontId="12" fillId="10" borderId="3" xfId="0" applyFont="1" applyFill="1" applyBorder="1" applyAlignment="1">
      <alignment horizontal="center" vertical="center"/>
    </xf>
    <xf numFmtId="0" fontId="12" fillId="6" borderId="3" xfId="0" applyFont="1" applyFill="1" applyBorder="1" applyAlignment="1">
      <alignment horizontal="center" vertical="center"/>
    </xf>
    <xf numFmtId="0" fontId="25" fillId="15" borderId="10" xfId="0" applyFont="1" applyFill="1" applyBorder="1" applyAlignment="1">
      <alignment horizontal="left" vertical="top" wrapText="1"/>
    </xf>
    <xf numFmtId="0" fontId="7" fillId="3" borderId="11" xfId="0" applyFont="1" applyFill="1" applyBorder="1" applyAlignment="1">
      <alignment horizontal="center" vertical="center" wrapText="1"/>
    </xf>
    <xf numFmtId="0" fontId="4" fillId="0" borderId="11" xfId="0" applyFont="1" applyBorder="1" applyAlignment="1">
      <alignment vertical="top" wrapText="1"/>
    </xf>
    <xf numFmtId="0" fontId="8" fillId="0" borderId="11" xfId="0" applyFont="1" applyBorder="1" applyAlignment="1">
      <alignment horizontal="center" vertical="center"/>
    </xf>
    <xf numFmtId="0" fontId="9" fillId="0" borderId="11" xfId="0" applyFont="1" applyBorder="1" applyAlignment="1">
      <alignment vertical="top" wrapText="1"/>
    </xf>
    <xf numFmtId="0" fontId="0" fillId="0" borderId="0" xfId="0" applyAlignment="1">
      <alignment horizontal="center"/>
    </xf>
    <xf numFmtId="0" fontId="4" fillId="0" borderId="11" xfId="0" applyFont="1" applyBorder="1" applyAlignment="1">
      <alignment horizontal="center" vertical="top" wrapText="1"/>
    </xf>
    <xf numFmtId="0" fontId="7" fillId="3" borderId="11" xfId="0" applyFont="1" applyFill="1" applyBorder="1" applyAlignment="1">
      <alignment vertical="center" wrapText="1"/>
    </xf>
    <xf numFmtId="0" fontId="7" fillId="3" borderId="13" xfId="0" applyFont="1" applyFill="1" applyBorder="1" applyAlignment="1">
      <alignment horizontal="center" vertical="center" wrapText="1"/>
    </xf>
    <xf numFmtId="0" fontId="4" fillId="0" borderId="13" xfId="0" applyFont="1" applyBorder="1" applyAlignment="1">
      <alignment horizontal="center" vertical="top" wrapText="1"/>
    </xf>
    <xf numFmtId="0" fontId="16" fillId="17" borderId="2" xfId="0" applyFont="1" applyFill="1" applyBorder="1" applyAlignment="1">
      <alignment horizontal="left" vertical="center"/>
    </xf>
    <xf numFmtId="0" fontId="11" fillId="15" borderId="10" xfId="0" applyFont="1" applyFill="1" applyBorder="1" applyAlignment="1">
      <alignment vertical="top" wrapText="1"/>
    </xf>
    <xf numFmtId="0" fontId="0" fillId="0" borderId="0" xfId="0" applyAlignment="1">
      <alignment horizontal="left" wrapText="1"/>
    </xf>
    <xf numFmtId="0" fontId="11" fillId="15" borderId="10" xfId="0" applyFont="1" applyFill="1" applyBorder="1" applyAlignment="1">
      <alignment horizontal="lef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6" fillId="0" borderId="12" xfId="0" applyFont="1" applyBorder="1" applyAlignment="1">
      <alignment vertical="top" wrapText="1"/>
    </xf>
    <xf numFmtId="0" fontId="5" fillId="0" borderId="12" xfId="0" applyFont="1" applyBorder="1" applyAlignment="1">
      <alignment vertical="top" wrapText="1"/>
    </xf>
    <xf numFmtId="0" fontId="3" fillId="0" borderId="1" xfId="0" applyFont="1" applyBorder="1" applyAlignment="1">
      <alignment horizontal="lef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11" fillId="5" borderId="0" xfId="0" applyFont="1" applyFill="1" applyBorder="1" applyAlignment="1">
      <alignment horizontal="left" vertical="center"/>
    </xf>
    <xf numFmtId="0" fontId="12" fillId="6" borderId="3" xfId="0" applyFont="1" applyFill="1" applyBorder="1" applyAlignment="1">
      <alignment horizontal="center" vertical="center"/>
    </xf>
    <xf numFmtId="0" fontId="15" fillId="7" borderId="6" xfId="0" applyFont="1" applyFill="1" applyBorder="1" applyAlignment="1">
      <alignment horizontal="left" vertical="top" wrapText="1"/>
    </xf>
    <xf numFmtId="0" fontId="16" fillId="5" borderId="0" xfId="0" applyFont="1" applyFill="1" applyBorder="1" applyAlignment="1">
      <alignment horizontal="left" vertical="center"/>
    </xf>
    <xf numFmtId="2" fontId="17" fillId="9" borderId="5" xfId="0" applyNumberFormat="1" applyFont="1" applyFill="1" applyBorder="1" applyAlignment="1">
      <alignment horizontal="center" vertical="center"/>
    </xf>
    <xf numFmtId="0" fontId="11" fillId="8" borderId="0" xfId="0" applyFont="1" applyFill="1" applyBorder="1" applyAlignment="1">
      <alignment horizontal="left" vertical="center"/>
    </xf>
    <xf numFmtId="0" fontId="12" fillId="10" borderId="3" xfId="0" applyFont="1" applyFill="1" applyBorder="1" applyAlignment="1">
      <alignment horizontal="center" vertical="center"/>
    </xf>
    <xf numFmtId="0" fontId="15" fillId="11" borderId="6" xfId="0" applyFont="1" applyFill="1" applyBorder="1" applyAlignment="1">
      <alignment horizontal="left" vertical="top" wrapText="1"/>
    </xf>
    <xf numFmtId="0" fontId="11" fillId="12" borderId="0" xfId="0" applyFont="1" applyFill="1" applyBorder="1" applyAlignment="1">
      <alignment horizontal="left" vertical="center"/>
    </xf>
    <xf numFmtId="0" fontId="12" fillId="13" borderId="3" xfId="0" applyFont="1" applyFill="1" applyBorder="1" applyAlignment="1">
      <alignment horizontal="center" vertical="center"/>
    </xf>
    <xf numFmtId="0" fontId="15" fillId="14" borderId="6" xfId="0" applyFont="1" applyFill="1" applyBorder="1" applyAlignment="1">
      <alignment horizontal="left" vertical="top" wrapText="1"/>
    </xf>
    <xf numFmtId="0" fontId="25" fillId="15" borderId="10" xfId="0" applyFont="1" applyFill="1" applyBorder="1" applyAlignment="1">
      <alignment horizontal="left" vertical="top" wrapText="1"/>
    </xf>
    <xf numFmtId="0" fontId="26" fillId="16" borderId="0" xfId="0" applyFont="1" applyFill="1" applyBorder="1" applyAlignment="1">
      <alignment horizontal="left" vertical="top" wrapText="1"/>
    </xf>
  </cellXfs>
  <cellStyles count="1">
    <cellStyle name="Normale" xfId="0" builtinId="0"/>
  </cellStyles>
  <dxfs count="98">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ill>
        <patternFill>
          <bgColor rgb="FFFFE8CC"/>
        </patternFill>
      </fill>
    </dxf>
    <dxf>
      <fill>
        <patternFill>
          <bgColor rgb="FFD4EDFF"/>
        </patternFill>
      </fill>
    </dxf>
    <dxf>
      <fill>
        <patternFill>
          <bgColor rgb="FFFFE8CC"/>
        </patternFill>
      </fill>
    </dxf>
    <dxf>
      <fill>
        <patternFill>
          <bgColor rgb="FFD4EDFF"/>
        </patternFill>
      </fill>
    </dxf>
    <dxf>
      <fill>
        <patternFill>
          <bgColor rgb="FFFFE8CC"/>
        </patternFill>
      </fill>
    </dxf>
    <dxf>
      <fill>
        <patternFill>
          <bgColor rgb="FFD4EDFF"/>
        </patternFill>
      </fill>
    </dxf>
    <dxf>
      <fill>
        <patternFill>
          <bgColor rgb="FFFFE8CC"/>
        </patternFill>
      </fill>
    </dxf>
    <dxf>
      <fill>
        <patternFill>
          <bgColor rgb="FFD4EDFF"/>
        </patternFill>
      </fill>
    </dxf>
    <dxf>
      <fill>
        <patternFill>
          <bgColor rgb="FFFFE8CC"/>
        </patternFill>
      </fill>
    </dxf>
    <dxf>
      <fill>
        <patternFill>
          <bgColor rgb="FFD4EDFF"/>
        </patternFill>
      </fill>
    </dxf>
    <dxf>
      <fill>
        <patternFill>
          <bgColor rgb="FFFFE8CC"/>
        </patternFill>
      </fill>
    </dxf>
    <dxf>
      <fill>
        <patternFill>
          <bgColor rgb="FFD4EDFF"/>
        </patternFill>
      </fill>
    </dxf>
    <dxf>
      <fill>
        <patternFill>
          <bgColor rgb="FFFFE8CC"/>
        </patternFill>
      </fill>
    </dxf>
    <dxf>
      <fill>
        <patternFill>
          <bgColor rgb="FFD4EDFF"/>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
      <font>
        <b/>
        <sz val="9"/>
        <color rgb="FFFFFFFF"/>
        <name val="Arial"/>
        <charset val="1"/>
      </font>
      <fill>
        <patternFill>
          <bgColor rgb="FF2E7D32"/>
        </patternFill>
      </fill>
    </dxf>
    <dxf>
      <font>
        <b/>
        <sz val="9"/>
        <color rgb="FFFFFFFF"/>
        <name val="Arial"/>
        <charset val="1"/>
      </font>
      <fill>
        <patternFill>
          <bgColor rgb="FF1565C0"/>
        </patternFill>
      </fill>
    </dxf>
    <dxf>
      <font>
        <b/>
        <sz val="9"/>
        <color rgb="FFFFFFFF"/>
        <name val="Arial"/>
        <charset val="1"/>
      </font>
      <fill>
        <patternFill>
          <bgColor rgb="FFF57F17"/>
        </patternFill>
      </fill>
    </dxf>
    <dxf>
      <font>
        <b/>
        <sz val="9"/>
        <color rgb="FFFFFFFF"/>
        <name val="Arial"/>
        <charset val="1"/>
      </font>
      <fill>
        <patternFill>
          <bgColor rgb="FFC55A11"/>
        </patternFill>
      </fill>
    </dxf>
    <dxf>
      <font>
        <b/>
        <sz val="9"/>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1A5E1A"/>
      <rgbColor rgb="FF1A1A1A"/>
      <rgbColor rgb="FF8A6A00"/>
      <rgbColor rgb="FF800080"/>
      <rgbColor rgb="FF00B050"/>
      <rgbColor rgb="FFCCCCCC"/>
      <rgbColor rgb="FF8A8780"/>
      <rgbColor rgb="FF777777"/>
      <rgbColor rgb="FFB8174F"/>
      <rgbColor rgb="FFFFF8E7"/>
      <rgbColor rgb="FFD4EDFF"/>
      <rgbColor rgb="FF4A4740"/>
      <rgbColor rgb="FFC55A11"/>
      <rgbColor rgb="FF1565C0"/>
      <rgbColor rgb="FFDDDDDD"/>
      <rgbColor rgb="FF1C1A17"/>
      <rgbColor rgb="FFFF00FF"/>
      <rgbColor rgb="FFF1F8E9"/>
      <rgbColor rgb="FF00FFFF"/>
      <rgbColor rgb="FF800080"/>
      <rgbColor rgb="FF1B5E20"/>
      <rgbColor rgb="FF1F4E79"/>
      <rgbColor rgb="FF0000FF"/>
      <rgbColor rgb="FF00CCFF"/>
      <rgbColor rgb="FFE3F2FD"/>
      <rgbColor rgb="FFDDF0DD"/>
      <rgbColor rgb="FFFFE8CC"/>
      <rgbColor rgb="FFE2EFDA"/>
      <rgbColor rgb="FFFDECEA"/>
      <rgbColor rgb="FFFDECEC"/>
      <rgbColor rgb="FFFDE8EF"/>
      <rgbColor rgb="FF2E75B6"/>
      <rgbColor rgb="FFF5F5F5"/>
      <rgbColor rgb="FF548235"/>
      <rgbColor rgb="FFF5F2EC"/>
      <rgbColor rgb="FFEEF7EE"/>
      <rgbColor rgb="FFF57F17"/>
      <rgbColor rgb="FF666666"/>
      <rgbColor rgb="FFAAAAAA"/>
      <rgbColor rgb="FF1A3A5C"/>
      <rgbColor rgb="FF2E7D32"/>
      <rgbColor rgb="FF0D3D0D"/>
      <rgbColor rgb="FF2C2A27"/>
      <rgbColor rgb="FF8B1A1A"/>
      <rgbColor rgb="FF555555"/>
      <rgbColor rgb="FF2E405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Fiorella Fioretto" id="{9B0936D3-A1C5-4088-9739-21C02DBEAC0F}" userId="5561ee76d518d003"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3" totalsRowShown="0">
  <autoFilter ref="A1:F13" xr:uid="{00000000-0009-0000-0100-000001000000}"/>
  <tableColumns count="6">
    <tableColumn id="1" xr3:uid="{00000000-0010-0000-0000-000001000000}" name="Domanda"/>
    <tableColumn id="2" xr3:uid="{00000000-0010-0000-0000-000002000000}" name="Cod. prodotto"/>
    <tableColumn id="3" xr3:uid="{00000000-0010-0000-0000-000003000000}" name="Trigger"/>
    <tableColumn id="4" xr3:uid="{00000000-0010-0000-0000-000004000000}" name="Punteggio soglia"/>
    <tableColumn id="5" xr3:uid="{00000000-0010-0000-0000-000005000000}" name="Prodotto suggerito"/>
    <tableColumn id="6" xr3:uid="{00000000-0010-0000-0000-000006000000}" name="Messaggio suggerit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41" dT="2026-06-05T13:22:11.68" personId="{9B0936D3-A1C5-4088-9739-21C02DBEAC0F}" id="{0746DA59-4539-4A22-ACD5-E0E44979B35F}">
    <text>we can incorporate this into the prompt for the agent</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sheetPr>
  <dimension ref="B2:C10"/>
  <sheetViews>
    <sheetView topLeftCell="A5" zoomScaleNormal="100" workbookViewId="0">
      <selection activeCell="B10" sqref="B10:C10"/>
    </sheetView>
  </sheetViews>
  <sheetFormatPr defaultColWidth="8.7109375" defaultRowHeight="15"/>
  <cols>
    <col min="1" max="1" width="5" customWidth="1"/>
    <col min="2" max="2" width="25" customWidth="1"/>
    <col min="3" max="3" width="65" customWidth="1"/>
  </cols>
  <sheetData>
    <row r="2" spans="2:3" ht="22.5" customHeight="1">
      <c r="B2" s="83" t="s">
        <v>0</v>
      </c>
      <c r="C2" s="83"/>
    </row>
    <row r="3" spans="2:3" ht="15" customHeight="1">
      <c r="B3" s="84" t="s">
        <v>1</v>
      </c>
      <c r="C3" s="84"/>
    </row>
    <row r="5" spans="2:3" ht="67.5" customHeight="1">
      <c r="B5" s="1" t="s">
        <v>2</v>
      </c>
      <c r="C5" s="2" t="s">
        <v>3</v>
      </c>
    </row>
    <row r="6" spans="2:3" ht="54">
      <c r="B6" s="3" t="s">
        <v>4</v>
      </c>
      <c r="C6" s="4" t="s">
        <v>5</v>
      </c>
    </row>
    <row r="7" spans="2:3" ht="69.75" customHeight="1">
      <c r="B7" s="1" t="s">
        <v>6</v>
      </c>
      <c r="C7" s="2" t="s">
        <v>7</v>
      </c>
    </row>
    <row r="10" spans="2:3" ht="15" customHeight="1">
      <c r="B10" s="85"/>
      <c r="C10" s="85"/>
    </row>
  </sheetData>
  <mergeCells count="3">
    <mergeCell ref="B2:C2"/>
    <mergeCell ref="B3:C3"/>
    <mergeCell ref="B10:C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2:G40"/>
  <sheetViews>
    <sheetView topLeftCell="A33" zoomScaleNormal="100" workbookViewId="0">
      <selection activeCell="B39" sqref="B39"/>
    </sheetView>
  </sheetViews>
  <sheetFormatPr defaultColWidth="8.7109375" defaultRowHeight="15"/>
  <cols>
    <col min="1" max="1" width="5" style="74" customWidth="1"/>
    <col min="2" max="2" width="55" customWidth="1"/>
    <col min="3" max="3" width="8" customWidth="1"/>
    <col min="4" max="6" width="35" customWidth="1"/>
    <col min="7" max="7" width="27.28515625" customWidth="1"/>
  </cols>
  <sheetData>
    <row r="2" spans="1:7" ht="22.5" customHeight="1">
      <c r="B2" s="83" t="s">
        <v>8</v>
      </c>
      <c r="C2" s="83"/>
      <c r="D2" s="83"/>
      <c r="E2" s="83"/>
      <c r="F2" s="83"/>
    </row>
    <row r="3" spans="1:7" ht="72" customHeight="1">
      <c r="B3" s="84" t="s">
        <v>9</v>
      </c>
      <c r="C3" s="84"/>
      <c r="D3" s="84"/>
      <c r="E3" s="84"/>
      <c r="F3" s="84"/>
    </row>
    <row r="5" spans="1:7" ht="17.25" customHeight="1">
      <c r="A5" s="75">
        <v>1</v>
      </c>
      <c r="B5" s="86" t="s">
        <v>10</v>
      </c>
      <c r="C5" s="86"/>
      <c r="D5" s="86"/>
      <c r="E5" s="86"/>
      <c r="F5" s="86"/>
    </row>
    <row r="6" spans="1:7" ht="15" customHeight="1">
      <c r="B6" s="87" t="s">
        <v>11</v>
      </c>
      <c r="C6" s="87"/>
      <c r="D6" s="87"/>
      <c r="E6" s="87"/>
      <c r="F6" s="87"/>
    </row>
    <row r="7" spans="1:7" ht="15" customHeight="1">
      <c r="A7" s="70" t="s">
        <v>12</v>
      </c>
      <c r="B7" s="70" t="s">
        <v>13</v>
      </c>
      <c r="C7" s="70" t="s">
        <v>14</v>
      </c>
      <c r="D7" s="70" t="s">
        <v>15</v>
      </c>
      <c r="E7" s="70" t="s">
        <v>16</v>
      </c>
      <c r="F7" s="70" t="s">
        <v>17</v>
      </c>
      <c r="G7" s="70" t="s">
        <v>18</v>
      </c>
    </row>
    <row r="8" spans="1:7" ht="35.25" customHeight="1">
      <c r="A8" s="75">
        <v>1.1000000000000001</v>
      </c>
      <c r="B8" s="71" t="s">
        <v>19</v>
      </c>
      <c r="C8" s="71"/>
      <c r="D8" s="71" t="s">
        <v>20</v>
      </c>
      <c r="E8" s="71" t="s">
        <v>21</v>
      </c>
      <c r="F8" s="71" t="s">
        <v>22</v>
      </c>
      <c r="G8" s="71"/>
    </row>
    <row r="9" spans="1:7" ht="39.75" customHeight="1">
      <c r="A9" s="75">
        <v>1.2</v>
      </c>
      <c r="B9" s="71" t="s">
        <v>23</v>
      </c>
      <c r="C9" s="72"/>
      <c r="D9" s="73" t="s">
        <v>24</v>
      </c>
      <c r="E9" s="73" t="s">
        <v>25</v>
      </c>
      <c r="F9" s="73" t="s">
        <v>26</v>
      </c>
      <c r="G9" s="73"/>
    </row>
    <row r="10" spans="1:7" ht="47.25" customHeight="1">
      <c r="A10" s="75">
        <v>1.3</v>
      </c>
      <c r="B10" s="71" t="s">
        <v>27</v>
      </c>
      <c r="C10" s="72"/>
      <c r="D10" s="73" t="s">
        <v>28</v>
      </c>
      <c r="E10" s="73" t="s">
        <v>29</v>
      </c>
      <c r="F10" s="73" t="s">
        <v>30</v>
      </c>
      <c r="G10" s="73"/>
    </row>
    <row r="11" spans="1:7" ht="40.5" customHeight="1">
      <c r="A11" s="75">
        <v>1.4</v>
      </c>
      <c r="B11" s="71" t="s">
        <v>31</v>
      </c>
      <c r="C11" s="72"/>
      <c r="D11" s="73" t="s">
        <v>32</v>
      </c>
      <c r="E11" s="73" t="s">
        <v>33</v>
      </c>
      <c r="F11" s="73" t="s">
        <v>34</v>
      </c>
      <c r="G11" s="73"/>
    </row>
    <row r="12" spans="1:7" ht="31.5" customHeight="1">
      <c r="A12" s="75">
        <v>1.5</v>
      </c>
      <c r="B12" s="71" t="s">
        <v>35</v>
      </c>
      <c r="C12" s="72"/>
      <c r="D12" s="73" t="s">
        <v>36</v>
      </c>
      <c r="E12" s="73" t="s">
        <v>37</v>
      </c>
      <c r="F12" s="73" t="s">
        <v>38</v>
      </c>
      <c r="G12" s="73"/>
    </row>
    <row r="13" spans="1:7" ht="31.5" customHeight="1">
      <c r="A13" s="75">
        <v>1.6</v>
      </c>
      <c r="B13" s="71" t="s">
        <v>39</v>
      </c>
      <c r="C13" s="72"/>
      <c r="D13" s="73" t="s">
        <v>40</v>
      </c>
      <c r="E13" s="73" t="s">
        <v>41</v>
      </c>
      <c r="F13" s="73" t="s">
        <v>42</v>
      </c>
      <c r="G13" s="73"/>
    </row>
    <row r="14" spans="1:7" ht="35.25" customHeight="1">
      <c r="A14" s="75">
        <v>1.7</v>
      </c>
      <c r="B14" s="71" t="s">
        <v>43</v>
      </c>
      <c r="C14" s="72"/>
      <c r="D14" s="73" t="s">
        <v>44</v>
      </c>
      <c r="E14" s="73" t="s">
        <v>45</v>
      </c>
      <c r="F14" s="73" t="s">
        <v>46</v>
      </c>
      <c r="G14" s="73"/>
    </row>
    <row r="17" spans="1:6" ht="17.25" customHeight="1">
      <c r="B17" s="88" t="s">
        <v>47</v>
      </c>
      <c r="C17" s="88"/>
      <c r="D17" s="88"/>
      <c r="E17" s="86"/>
      <c r="F17" s="86"/>
    </row>
    <row r="18" spans="1:6" ht="27.75" customHeight="1">
      <c r="A18" s="77" t="s">
        <v>12</v>
      </c>
      <c r="B18" s="70" t="s">
        <v>48</v>
      </c>
      <c r="C18" s="70" t="s">
        <v>49</v>
      </c>
      <c r="D18" s="76" t="s">
        <v>50</v>
      </c>
    </row>
    <row r="19" spans="1:6" ht="27" customHeight="1">
      <c r="A19" s="78">
        <v>2.1</v>
      </c>
      <c r="B19" s="71" t="s">
        <v>51</v>
      </c>
      <c r="C19" s="72"/>
      <c r="D19" s="71"/>
    </row>
    <row r="20" spans="1:6" ht="27" customHeight="1">
      <c r="A20" s="78">
        <v>2.2000000000000002</v>
      </c>
      <c r="B20" s="71" t="s">
        <v>52</v>
      </c>
      <c r="C20" s="72"/>
      <c r="D20" s="71"/>
    </row>
    <row r="21" spans="1:6" ht="27" customHeight="1">
      <c r="A21" s="78">
        <v>2.2999999999999998</v>
      </c>
      <c r="B21" s="71" t="s">
        <v>53</v>
      </c>
      <c r="C21" s="72"/>
      <c r="D21" s="71"/>
    </row>
    <row r="22" spans="1:6" ht="27" customHeight="1">
      <c r="A22" s="78">
        <v>2.4</v>
      </c>
      <c r="B22" s="71" t="s">
        <v>54</v>
      </c>
      <c r="C22" s="72"/>
      <c r="D22" s="71"/>
    </row>
    <row r="23" spans="1:6" ht="27" customHeight="1">
      <c r="A23" s="78">
        <v>2.5</v>
      </c>
      <c r="B23" s="71" t="s">
        <v>55</v>
      </c>
      <c r="C23" s="72"/>
      <c r="D23" s="71"/>
    </row>
    <row r="24" spans="1:6" ht="27" customHeight="1">
      <c r="A24" s="78">
        <v>2.6</v>
      </c>
      <c r="B24" s="71" t="s">
        <v>56</v>
      </c>
      <c r="C24" s="72"/>
      <c r="D24" s="71"/>
    </row>
    <row r="25" spans="1:6" ht="15" customHeight="1">
      <c r="A25" s="78">
        <v>2.7</v>
      </c>
      <c r="B25" s="71" t="s">
        <v>57</v>
      </c>
      <c r="C25" s="72"/>
      <c r="D25" s="71"/>
    </row>
    <row r="26" spans="1:6" ht="15" customHeight="1">
      <c r="A26" s="78">
        <v>2.8</v>
      </c>
      <c r="B26" s="71" t="s">
        <v>58</v>
      </c>
      <c r="C26" s="72"/>
      <c r="D26" s="71"/>
    </row>
    <row r="27" spans="1:6" ht="27" customHeight="1">
      <c r="A27" s="78">
        <v>2.9</v>
      </c>
      <c r="B27" s="71" t="s">
        <v>59</v>
      </c>
      <c r="C27" s="72"/>
      <c r="D27" s="71"/>
    </row>
    <row r="29" spans="1:6" ht="17.25" customHeight="1">
      <c r="B29" s="88" t="s">
        <v>60</v>
      </c>
      <c r="C29" s="88"/>
      <c r="D29" s="88"/>
      <c r="E29" s="86"/>
      <c r="F29" s="86"/>
    </row>
    <row r="30" spans="1:6" ht="15" customHeight="1">
      <c r="A30" s="70" t="s">
        <v>12</v>
      </c>
      <c r="B30" s="70" t="s">
        <v>61</v>
      </c>
      <c r="C30" s="70" t="s">
        <v>62</v>
      </c>
      <c r="D30" s="76" t="s">
        <v>63</v>
      </c>
    </row>
    <row r="31" spans="1:6" ht="27" customHeight="1">
      <c r="A31" s="75">
        <v>3.1</v>
      </c>
      <c r="B31" s="71" t="s">
        <v>64</v>
      </c>
      <c r="C31" s="72"/>
      <c r="D31" s="71"/>
    </row>
    <row r="32" spans="1:6" ht="15" customHeight="1">
      <c r="A32" s="75">
        <v>3.2</v>
      </c>
      <c r="B32" s="71" t="s">
        <v>65</v>
      </c>
      <c r="C32" s="72"/>
      <c r="D32" s="71"/>
    </row>
    <row r="33" spans="1:4" ht="15" customHeight="1">
      <c r="A33" s="75">
        <v>3.3</v>
      </c>
      <c r="B33" s="71" t="s">
        <v>66</v>
      </c>
      <c r="C33" s="72"/>
      <c r="D33" s="71"/>
    </row>
    <row r="34" spans="1:4" ht="27" customHeight="1">
      <c r="A34" s="75">
        <v>3.4</v>
      </c>
      <c r="B34" s="71" t="s">
        <v>67</v>
      </c>
      <c r="C34" s="72"/>
      <c r="D34" s="71"/>
    </row>
    <row r="35" spans="1:4" ht="27" customHeight="1">
      <c r="A35" s="75">
        <v>3.5</v>
      </c>
      <c r="B35" s="71" t="s">
        <v>68</v>
      </c>
      <c r="C35" s="72"/>
      <c r="D35" s="71"/>
    </row>
    <row r="36" spans="1:4" ht="27" customHeight="1">
      <c r="A36" s="75">
        <v>3.6</v>
      </c>
      <c r="B36" s="71" t="s">
        <v>69</v>
      </c>
      <c r="C36" s="72"/>
      <c r="D36" s="71"/>
    </row>
    <row r="37" spans="1:4" ht="27" customHeight="1">
      <c r="A37" s="75">
        <v>3.7</v>
      </c>
      <c r="B37" s="71" t="s">
        <v>70</v>
      </c>
      <c r="C37" s="72"/>
      <c r="D37" s="71"/>
    </row>
    <row r="38" spans="1:4" ht="27" customHeight="1">
      <c r="A38" s="75">
        <v>3.8</v>
      </c>
      <c r="B38" s="71" t="s">
        <v>71</v>
      </c>
      <c r="C38" s="72"/>
      <c r="D38" s="71"/>
    </row>
    <row r="40" spans="1:4" ht="42.75" customHeight="1">
      <c r="B40" s="65" t="s">
        <v>72</v>
      </c>
      <c r="C40" s="65"/>
    </row>
  </sheetData>
  <mergeCells count="6">
    <mergeCell ref="B29:F29"/>
    <mergeCell ref="B2:F2"/>
    <mergeCell ref="B3:F3"/>
    <mergeCell ref="B5:F5"/>
    <mergeCell ref="B6:F6"/>
    <mergeCell ref="B17:F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2:H68"/>
  <sheetViews>
    <sheetView topLeftCell="A62" zoomScaleNormal="100" workbookViewId="0">
      <selection activeCell="C66" sqref="C66"/>
    </sheetView>
  </sheetViews>
  <sheetFormatPr defaultColWidth="8.7109375" defaultRowHeight="15"/>
  <cols>
    <col min="1" max="1" width="6" customWidth="1"/>
    <col min="2" max="2" width="42" customWidth="1"/>
    <col min="3" max="3" width="48" customWidth="1"/>
    <col min="4" max="4" width="12.7109375" customWidth="1"/>
    <col min="5" max="5" width="40" customWidth="1"/>
    <col min="6" max="6" width="8" customWidth="1"/>
    <col min="7" max="7" width="30" customWidth="1"/>
    <col min="8" max="8" width="13" hidden="1" customWidth="1"/>
  </cols>
  <sheetData>
    <row r="2" spans="1:8" ht="22.5" customHeight="1">
      <c r="A2" s="83" t="s">
        <v>73</v>
      </c>
      <c r="B2" s="83"/>
      <c r="C2" s="83"/>
      <c r="D2" s="83"/>
      <c r="E2" s="83"/>
      <c r="F2" s="83"/>
      <c r="G2" s="83"/>
    </row>
    <row r="3" spans="1:8" ht="15" customHeight="1">
      <c r="A3" s="84" t="s">
        <v>74</v>
      </c>
      <c r="B3" s="84"/>
      <c r="C3" s="84"/>
      <c r="D3" s="84"/>
      <c r="E3" s="84"/>
      <c r="F3" s="84"/>
      <c r="G3" s="84"/>
    </row>
    <row r="5" spans="1:8" ht="54" customHeight="1">
      <c r="A5" s="89" t="s">
        <v>75</v>
      </c>
      <c r="B5" s="89"/>
      <c r="C5" s="89"/>
      <c r="D5" s="8"/>
    </row>
    <row r="6" spans="1:8" ht="27" customHeight="1">
      <c r="A6" s="89" t="s">
        <v>76</v>
      </c>
      <c r="B6" s="89"/>
      <c r="C6" s="89"/>
      <c r="D6" s="8"/>
    </row>
    <row r="7" spans="1:8" ht="27" customHeight="1">
      <c r="A7" s="89" t="s">
        <v>77</v>
      </c>
      <c r="B7" s="89"/>
      <c r="C7" s="89"/>
      <c r="D7" s="8"/>
    </row>
    <row r="8" spans="1:8" ht="27" customHeight="1">
      <c r="A8" s="89" t="s">
        <v>78</v>
      </c>
      <c r="B8" s="89"/>
      <c r="C8" s="89"/>
      <c r="D8" s="8"/>
    </row>
    <row r="10" spans="1:8" ht="24" customHeight="1">
      <c r="A10" s="5" t="s">
        <v>79</v>
      </c>
      <c r="B10" s="5" t="s">
        <v>13</v>
      </c>
      <c r="C10" s="5" t="s">
        <v>80</v>
      </c>
      <c r="D10" s="5" t="s">
        <v>81</v>
      </c>
      <c r="E10" s="5" t="s">
        <v>82</v>
      </c>
      <c r="F10" s="5" t="s">
        <v>14</v>
      </c>
      <c r="G10" s="5" t="s">
        <v>18</v>
      </c>
    </row>
    <row r="11" spans="1:8" ht="17.25" customHeight="1">
      <c r="A11" s="90" t="s">
        <v>83</v>
      </c>
      <c r="B11" s="90"/>
      <c r="C11" s="90"/>
      <c r="D11" s="90"/>
      <c r="E11" s="90"/>
      <c r="F11" s="90"/>
      <c r="G11" s="90"/>
    </row>
    <row r="12" spans="1:8" ht="15" customHeight="1">
      <c r="A12" s="91" t="s">
        <v>84</v>
      </c>
      <c r="B12" s="91"/>
      <c r="C12" s="91"/>
      <c r="D12" s="91"/>
      <c r="E12" s="91"/>
      <c r="F12" s="91"/>
      <c r="G12" s="91"/>
    </row>
    <row r="13" spans="1:8" ht="54" customHeight="1">
      <c r="A13" s="9" t="s">
        <v>85</v>
      </c>
      <c r="B13" s="4" t="s">
        <v>86</v>
      </c>
      <c r="C13" s="7" t="s">
        <v>87</v>
      </c>
      <c r="D13" s="7"/>
      <c r="E13" s="10" t="s">
        <v>88</v>
      </c>
      <c r="F13" s="6"/>
      <c r="G13" s="4"/>
      <c r="H13" t="str">
        <f>IFERROR(IF(F13="","",F13-1),"")</f>
        <v/>
      </c>
    </row>
    <row r="14" spans="1:8" ht="60" customHeight="1">
      <c r="A14" s="9" t="s">
        <v>89</v>
      </c>
      <c r="B14" s="4" t="s">
        <v>90</v>
      </c>
      <c r="C14" s="7" t="s">
        <v>91</v>
      </c>
      <c r="D14" s="7"/>
      <c r="E14" s="10" t="s">
        <v>92</v>
      </c>
      <c r="F14" s="6"/>
      <c r="G14" s="4"/>
      <c r="H14" t="str">
        <f>IFERROR(IF(F14="","",F14-1),"")</f>
        <v/>
      </c>
    </row>
    <row r="15" spans="1:8" ht="69" customHeight="1">
      <c r="A15" s="9" t="s">
        <v>93</v>
      </c>
      <c r="B15" s="4" t="s">
        <v>94</v>
      </c>
      <c r="C15" s="7" t="s">
        <v>95</v>
      </c>
      <c r="D15" s="7"/>
      <c r="E15" s="10" t="s">
        <v>96</v>
      </c>
      <c r="F15" s="6"/>
      <c r="G15" s="4"/>
      <c r="H15" t="str">
        <f>IFERROR(IF(F15="","",F15-1),"")</f>
        <v/>
      </c>
    </row>
    <row r="16" spans="1:8" ht="18" customHeight="1">
      <c r="B16" s="3" t="s">
        <v>97</v>
      </c>
      <c r="F16" s="11" t="str">
        <f>IFERROR(AVERAGE(F13:F15),"")</f>
        <v/>
      </c>
      <c r="H16" t="str">
        <f>IFERROR(AVERAGE(H13:H15),"")</f>
        <v/>
      </c>
    </row>
    <row r="17" spans="1:8" ht="17.25" customHeight="1">
      <c r="A17" s="90" t="s">
        <v>98</v>
      </c>
      <c r="B17" s="90"/>
      <c r="C17" s="90"/>
      <c r="D17" s="90"/>
      <c r="E17" s="90"/>
      <c r="F17" s="90"/>
      <c r="G17" s="90"/>
    </row>
    <row r="18" spans="1:8" ht="15" customHeight="1">
      <c r="A18" s="91" t="s">
        <v>99</v>
      </c>
      <c r="B18" s="91"/>
      <c r="C18" s="91"/>
      <c r="D18" s="91"/>
      <c r="E18" s="91"/>
      <c r="F18" s="91"/>
      <c r="G18" s="91"/>
    </row>
    <row r="19" spans="1:8" ht="52.5" customHeight="1">
      <c r="A19" s="9" t="s">
        <v>100</v>
      </c>
      <c r="B19" s="4" t="s">
        <v>101</v>
      </c>
      <c r="C19" s="7" t="s">
        <v>102</v>
      </c>
      <c r="D19" s="7" t="s">
        <v>103</v>
      </c>
      <c r="E19" s="10" t="s">
        <v>104</v>
      </c>
      <c r="F19" s="6"/>
      <c r="G19" s="4"/>
      <c r="H19" t="str">
        <f>IFERROR(IF(F19="","",F19-1),"")</f>
        <v/>
      </c>
    </row>
    <row r="20" spans="1:8" ht="86.25" customHeight="1">
      <c r="A20" s="9" t="s">
        <v>105</v>
      </c>
      <c r="B20" s="4" t="s">
        <v>106</v>
      </c>
      <c r="C20" s="7" t="s">
        <v>107</v>
      </c>
      <c r="D20" s="7" t="s">
        <v>103</v>
      </c>
      <c r="E20" s="10" t="s">
        <v>108</v>
      </c>
      <c r="F20" s="6"/>
      <c r="G20" s="4"/>
      <c r="H20" t="str">
        <f>IFERROR(IF(F20="","",F20-1),"")</f>
        <v/>
      </c>
    </row>
    <row r="21" spans="1:8" ht="46.5" customHeight="1">
      <c r="A21" s="9" t="s">
        <v>109</v>
      </c>
      <c r="B21" s="4" t="s">
        <v>110</v>
      </c>
      <c r="C21" s="7" t="s">
        <v>111</v>
      </c>
      <c r="D21" s="7" t="s">
        <v>103</v>
      </c>
      <c r="E21" s="10" t="s">
        <v>112</v>
      </c>
      <c r="F21" s="6"/>
      <c r="G21" s="4"/>
      <c r="H21" t="str">
        <f>IFERROR(IF(F21="","",F21-1),"")</f>
        <v/>
      </c>
    </row>
    <row r="22" spans="1:8" ht="41.25" customHeight="1">
      <c r="A22" s="9" t="s">
        <v>113</v>
      </c>
      <c r="B22" s="4" t="s">
        <v>114</v>
      </c>
      <c r="C22" s="7" t="s">
        <v>115</v>
      </c>
      <c r="D22" s="7"/>
      <c r="E22" s="10" t="s">
        <v>116</v>
      </c>
      <c r="F22" s="6"/>
      <c r="G22" s="4"/>
      <c r="H22" t="str">
        <f>IFERROR(IF(F22="","",F22-1),"")</f>
        <v/>
      </c>
    </row>
    <row r="23" spans="1:8" ht="63.75" customHeight="1">
      <c r="A23" s="9" t="s">
        <v>117</v>
      </c>
      <c r="B23" s="4" t="s">
        <v>118</v>
      </c>
      <c r="C23" s="7" t="s">
        <v>119</v>
      </c>
      <c r="D23" s="7"/>
      <c r="E23" s="10" t="s">
        <v>120</v>
      </c>
      <c r="F23" s="6"/>
      <c r="G23" s="4"/>
      <c r="H23" t="str">
        <f>IFERROR(IF(F23="","",F23-1),"")</f>
        <v/>
      </c>
    </row>
    <row r="24" spans="1:8" ht="60.75" customHeight="1">
      <c r="A24" s="9" t="s">
        <v>121</v>
      </c>
      <c r="B24" s="4" t="s">
        <v>122</v>
      </c>
      <c r="C24" s="7" t="s">
        <v>123</v>
      </c>
      <c r="D24" s="7"/>
      <c r="E24" s="10" t="s">
        <v>124</v>
      </c>
      <c r="F24" s="6"/>
      <c r="G24" s="4"/>
      <c r="H24" t="str">
        <f>IFERROR(IF(F24="","",F24-1),"")</f>
        <v/>
      </c>
    </row>
    <row r="25" spans="1:8" ht="76.5" customHeight="1">
      <c r="A25" s="9" t="s">
        <v>125</v>
      </c>
      <c r="B25" s="4" t="s">
        <v>126</v>
      </c>
      <c r="C25" s="7" t="s">
        <v>127</v>
      </c>
      <c r="D25" s="7"/>
      <c r="E25" s="10" t="s">
        <v>128</v>
      </c>
      <c r="F25" s="6"/>
      <c r="G25" s="4"/>
      <c r="H25" t="str">
        <f>IFERROR(IF(F25="","",F25-1),"")</f>
        <v/>
      </c>
    </row>
    <row r="26" spans="1:8" ht="18" customHeight="1">
      <c r="B26" s="3" t="s">
        <v>97</v>
      </c>
      <c r="F26" s="11" t="str">
        <f>IFERROR(AVERAGE(F19:F25),"")</f>
        <v/>
      </c>
      <c r="H26" t="str">
        <f>IFERROR(AVERAGE(H19:H25),"")</f>
        <v/>
      </c>
    </row>
    <row r="27" spans="1:8" ht="17.25" customHeight="1">
      <c r="A27" s="90" t="s">
        <v>129</v>
      </c>
      <c r="B27" s="90"/>
      <c r="C27" s="90"/>
      <c r="D27" s="90"/>
      <c r="E27" s="90"/>
      <c r="F27" s="90"/>
      <c r="G27" s="90"/>
    </row>
    <row r="28" spans="1:8" ht="15" customHeight="1">
      <c r="A28" s="91" t="s">
        <v>130</v>
      </c>
      <c r="B28" s="91"/>
      <c r="C28" s="91"/>
      <c r="D28" s="91"/>
      <c r="E28" s="91"/>
      <c r="F28" s="91"/>
      <c r="G28" s="91"/>
    </row>
    <row r="29" spans="1:8" ht="95.25" customHeight="1">
      <c r="A29" s="9" t="s">
        <v>131</v>
      </c>
      <c r="B29" s="4" t="s">
        <v>132</v>
      </c>
      <c r="C29" s="7" t="s">
        <v>133</v>
      </c>
      <c r="D29" s="7"/>
      <c r="E29" s="10" t="s">
        <v>134</v>
      </c>
      <c r="F29" s="6"/>
      <c r="G29" s="4"/>
      <c r="H29" t="str">
        <f>IFERROR(IF(F29="","",F29-1),"")</f>
        <v/>
      </c>
    </row>
    <row r="30" spans="1:8" ht="64.5" customHeight="1">
      <c r="A30" s="9" t="s">
        <v>135</v>
      </c>
      <c r="B30" s="4" t="s">
        <v>136</v>
      </c>
      <c r="C30" s="7" t="s">
        <v>137</v>
      </c>
      <c r="D30" s="7" t="s">
        <v>103</v>
      </c>
      <c r="E30" s="10" t="s">
        <v>138</v>
      </c>
      <c r="F30" s="6"/>
      <c r="G30" s="4"/>
      <c r="H30" t="str">
        <f>IFERROR(IF(F30="","",F30-1),"")</f>
        <v/>
      </c>
    </row>
    <row r="31" spans="1:8" ht="64.5" customHeight="1">
      <c r="A31" s="9" t="s">
        <v>139</v>
      </c>
      <c r="B31" s="4" t="s">
        <v>140</v>
      </c>
      <c r="C31" s="7" t="s">
        <v>141</v>
      </c>
      <c r="D31" s="7"/>
      <c r="E31" s="10" t="s">
        <v>142</v>
      </c>
      <c r="F31" s="6"/>
      <c r="G31" s="4"/>
    </row>
    <row r="32" spans="1:8" ht="63" customHeight="1">
      <c r="A32" s="9" t="s">
        <v>143</v>
      </c>
      <c r="B32" s="4" t="s">
        <v>144</v>
      </c>
      <c r="C32" s="7" t="s">
        <v>145</v>
      </c>
      <c r="D32" s="7"/>
      <c r="E32" s="10" t="s">
        <v>146</v>
      </c>
      <c r="F32" s="6"/>
      <c r="G32" s="4"/>
      <c r="H32" t="str">
        <f>IFERROR(IF(F32="","",F32-1),"")</f>
        <v/>
      </c>
    </row>
    <row r="33" spans="1:8" ht="80.25" customHeight="1">
      <c r="A33" s="9" t="s">
        <v>147</v>
      </c>
      <c r="B33" s="4" t="s">
        <v>148</v>
      </c>
      <c r="C33" s="7" t="s">
        <v>149</v>
      </c>
      <c r="D33" s="7"/>
      <c r="E33" s="10" t="s">
        <v>150</v>
      </c>
      <c r="F33" s="6"/>
      <c r="G33" s="4"/>
      <c r="H33" t="str">
        <f>IFERROR(IF(F33="","",F33-1),"")</f>
        <v/>
      </c>
    </row>
    <row r="34" spans="1:8" ht="80.25" customHeight="1">
      <c r="A34" s="12">
        <v>3.6</v>
      </c>
      <c r="B34" s="4" t="s">
        <v>151</v>
      </c>
      <c r="C34" s="7" t="s">
        <v>152</v>
      </c>
      <c r="D34" s="7"/>
      <c r="E34" s="10" t="s">
        <v>153</v>
      </c>
      <c r="F34" s="6"/>
      <c r="G34" s="13"/>
    </row>
    <row r="35" spans="1:8" ht="18" customHeight="1">
      <c r="B35" s="3" t="s">
        <v>97</v>
      </c>
      <c r="F35" s="11" t="str">
        <f>IFERROR(AVERAGE(F29:F34),"")</f>
        <v/>
      </c>
      <c r="H35" t="str">
        <f>IFERROR(AVERAGE(H29:H33),"")</f>
        <v/>
      </c>
    </row>
    <row r="36" spans="1:8" ht="17.25" customHeight="1">
      <c r="A36" s="90" t="s">
        <v>154</v>
      </c>
      <c r="B36" s="90"/>
      <c r="C36" s="90"/>
      <c r="D36" s="90"/>
      <c r="E36" s="90"/>
      <c r="F36" s="90"/>
      <c r="G36" s="90"/>
    </row>
    <row r="37" spans="1:8" ht="15" customHeight="1">
      <c r="A37" s="91" t="s">
        <v>155</v>
      </c>
      <c r="B37" s="91"/>
      <c r="C37" s="91"/>
      <c r="D37" s="91"/>
      <c r="E37" s="91"/>
      <c r="F37" s="91"/>
      <c r="G37" s="91"/>
    </row>
    <row r="38" spans="1:8" ht="76.5" customHeight="1">
      <c r="A38" s="14" t="s">
        <v>156</v>
      </c>
      <c r="B38" s="4" t="s">
        <v>157</v>
      </c>
      <c r="C38" s="7" t="s">
        <v>158</v>
      </c>
      <c r="D38" s="7" t="s">
        <v>103</v>
      </c>
      <c r="E38" s="10" t="s">
        <v>159</v>
      </c>
      <c r="F38" s="6"/>
      <c r="G38" s="4"/>
      <c r="H38" t="str">
        <f>IFERROR(IF(F38="","",F38-1),"")</f>
        <v/>
      </c>
    </row>
    <row r="39" spans="1:8" ht="96.75" customHeight="1">
      <c r="A39" s="9" t="s">
        <v>160</v>
      </c>
      <c r="B39" s="4" t="s">
        <v>161</v>
      </c>
      <c r="C39" s="7" t="s">
        <v>162</v>
      </c>
      <c r="D39" s="7"/>
      <c r="E39" s="10" t="s">
        <v>163</v>
      </c>
      <c r="F39" s="6"/>
      <c r="G39" s="4"/>
      <c r="H39" t="str">
        <f>IFERROR(IF(F39="","",F39-1),"")</f>
        <v/>
      </c>
    </row>
    <row r="40" spans="1:8" ht="79.5" customHeight="1">
      <c r="A40" s="9" t="s">
        <v>164</v>
      </c>
      <c r="B40" s="4" t="s">
        <v>165</v>
      </c>
      <c r="C40" s="7" t="s">
        <v>166</v>
      </c>
      <c r="D40" s="7" t="s">
        <v>103</v>
      </c>
      <c r="E40" s="10" t="s">
        <v>167</v>
      </c>
      <c r="F40" s="6"/>
      <c r="G40" s="10" t="s">
        <v>168</v>
      </c>
      <c r="H40" t="str">
        <f>IFERROR(IF(F40="","",F40-1),"")</f>
        <v/>
      </c>
    </row>
    <row r="41" spans="1:8" ht="58.5" customHeight="1">
      <c r="A41" s="9" t="s">
        <v>169</v>
      </c>
      <c r="B41" s="4" t="s">
        <v>170</v>
      </c>
      <c r="C41" s="7" t="s">
        <v>171</v>
      </c>
      <c r="D41" s="7"/>
      <c r="E41" s="10" t="s">
        <v>172</v>
      </c>
      <c r="F41" s="6"/>
      <c r="G41" s="10" t="str">
        <f>IFERROR(IF(F40&lt;=1,"Nota: servi solo clienti locali. Le competenze linguistiche non sono urgenti oggi, ma limitano la crescita futura.",""),"")</f>
        <v>Nota: servi solo clienti locali. Le competenze linguistiche non sono urgenti oggi, ma limitano la crescita futura.</v>
      </c>
      <c r="H41" t="str">
        <f>IFERROR(IF(F41="","",F41-1),"")</f>
        <v/>
      </c>
    </row>
    <row r="42" spans="1:8" ht="18" customHeight="1">
      <c r="B42" s="3" t="s">
        <v>97</v>
      </c>
      <c r="F42" s="11" t="str">
        <f>IFERROR(AVERAGE(F38:F41),"")</f>
        <v/>
      </c>
      <c r="H42" t="str">
        <f>IFERROR(AVERAGE(H38:H41),"")</f>
        <v/>
      </c>
    </row>
    <row r="43" spans="1:8" ht="17.25" customHeight="1">
      <c r="A43" s="90" t="s">
        <v>173</v>
      </c>
      <c r="B43" s="90"/>
      <c r="C43" s="90"/>
      <c r="D43" s="90"/>
      <c r="E43" s="90"/>
      <c r="F43" s="90"/>
      <c r="G43" s="90"/>
    </row>
    <row r="44" spans="1:8" ht="15" customHeight="1">
      <c r="A44" s="91" t="s">
        <v>174</v>
      </c>
      <c r="B44" s="91"/>
      <c r="C44" s="91"/>
      <c r="D44" s="91"/>
      <c r="E44" s="91"/>
      <c r="F44" s="91"/>
      <c r="G44" s="91"/>
    </row>
    <row r="45" spans="1:8" ht="88.5" customHeight="1">
      <c r="A45" s="9" t="s">
        <v>175</v>
      </c>
      <c r="B45" s="4" t="s">
        <v>176</v>
      </c>
      <c r="C45" s="7" t="s">
        <v>177</v>
      </c>
      <c r="D45" s="7"/>
      <c r="E45" s="10" t="s">
        <v>178</v>
      </c>
      <c r="F45" s="6"/>
      <c r="G45" s="4"/>
      <c r="H45" t="str">
        <f>IFERROR(IF(F45="","",F45-1),"")</f>
        <v/>
      </c>
    </row>
    <row r="46" spans="1:8" ht="81" customHeight="1">
      <c r="A46" s="9" t="s">
        <v>179</v>
      </c>
      <c r="B46" s="4" t="s">
        <v>180</v>
      </c>
      <c r="C46" s="7" t="s">
        <v>181</v>
      </c>
      <c r="D46" s="7"/>
      <c r="E46" s="10" t="s">
        <v>182</v>
      </c>
      <c r="F46" s="6"/>
      <c r="G46" s="4"/>
      <c r="H46" t="str">
        <f>IFERROR(IF(F46="","",F46-1),"")</f>
        <v/>
      </c>
    </row>
    <row r="47" spans="1:8" ht="97.5" customHeight="1">
      <c r="A47" s="9" t="s">
        <v>183</v>
      </c>
      <c r="B47" s="4" t="s">
        <v>184</v>
      </c>
      <c r="C47" s="7" t="s">
        <v>185</v>
      </c>
      <c r="D47" s="7"/>
      <c r="E47" s="10" t="s">
        <v>186</v>
      </c>
      <c r="F47" s="6"/>
      <c r="G47" s="4"/>
      <c r="H47" t="str">
        <f>IFERROR(IF(F47="","",F47-1),"")</f>
        <v/>
      </c>
    </row>
    <row r="48" spans="1:8" ht="71.25" customHeight="1">
      <c r="A48" s="9" t="s">
        <v>187</v>
      </c>
      <c r="B48" s="4" t="s">
        <v>188</v>
      </c>
      <c r="C48" s="7" t="s">
        <v>189</v>
      </c>
      <c r="D48" s="7"/>
      <c r="E48" s="10" t="s">
        <v>190</v>
      </c>
      <c r="F48" s="6"/>
      <c r="G48" s="4"/>
      <c r="H48" t="str">
        <f>IFERROR(IF(F48="","",F48-1),"")</f>
        <v/>
      </c>
    </row>
    <row r="49" spans="1:8" ht="76.5" customHeight="1">
      <c r="A49" s="9" t="s">
        <v>191</v>
      </c>
      <c r="B49" s="4" t="s">
        <v>192</v>
      </c>
      <c r="C49" s="7" t="s">
        <v>193</v>
      </c>
      <c r="D49" s="7"/>
      <c r="E49" s="10" t="s">
        <v>194</v>
      </c>
      <c r="F49" s="6"/>
      <c r="G49" s="4"/>
      <c r="H49" t="str">
        <f>IFERROR(IF(F49="","",F49-1),"")</f>
        <v/>
      </c>
    </row>
    <row r="50" spans="1:8" ht="18" customHeight="1">
      <c r="B50" s="3" t="s">
        <v>97</v>
      </c>
      <c r="F50" s="11" t="str">
        <f>IFERROR(AVERAGE(F45:F49),"")</f>
        <v/>
      </c>
      <c r="H50" t="str">
        <f>IFERROR(AVERAGE(H45:H49),"")</f>
        <v/>
      </c>
    </row>
    <row r="51" spans="1:8" ht="17.25" customHeight="1">
      <c r="A51" s="90" t="s">
        <v>195</v>
      </c>
      <c r="B51" s="90"/>
      <c r="C51" s="90"/>
      <c r="D51" s="90"/>
      <c r="E51" s="90"/>
      <c r="F51" s="90"/>
      <c r="G51" s="90"/>
    </row>
    <row r="52" spans="1:8" ht="15" customHeight="1">
      <c r="A52" s="91" t="s">
        <v>196</v>
      </c>
      <c r="B52" s="91"/>
      <c r="C52" s="91"/>
      <c r="D52" s="91"/>
      <c r="E52" s="91"/>
      <c r="F52" s="91"/>
      <c r="G52" s="91"/>
    </row>
    <row r="53" spans="1:8" ht="52.5" customHeight="1">
      <c r="A53" s="9" t="s">
        <v>197</v>
      </c>
      <c r="B53" s="4" t="s">
        <v>198</v>
      </c>
      <c r="C53" s="7" t="s">
        <v>199</v>
      </c>
      <c r="D53" s="7"/>
      <c r="E53" s="10" t="s">
        <v>200</v>
      </c>
      <c r="F53" s="6"/>
      <c r="G53" s="4"/>
      <c r="H53" t="str">
        <f>IFERROR(IF(F53="","",F53-1),"")</f>
        <v/>
      </c>
    </row>
    <row r="54" spans="1:8" ht="81" customHeight="1">
      <c r="A54" s="9" t="s">
        <v>201</v>
      </c>
      <c r="B54" s="4" t="s">
        <v>202</v>
      </c>
      <c r="C54" s="7" t="s">
        <v>203</v>
      </c>
      <c r="D54" s="7" t="s">
        <v>103</v>
      </c>
      <c r="E54" s="10" t="s">
        <v>204</v>
      </c>
      <c r="F54" s="6"/>
      <c r="G54" s="10" t="s">
        <v>205</v>
      </c>
      <c r="H54" t="str">
        <f>IFERROR(IF(F54="","",F54-1),"")</f>
        <v/>
      </c>
    </row>
    <row r="55" spans="1:8" ht="54.75" customHeight="1">
      <c r="A55" s="9" t="s">
        <v>206</v>
      </c>
      <c r="B55" s="4" t="s">
        <v>207</v>
      </c>
      <c r="C55" s="7" t="s">
        <v>208</v>
      </c>
      <c r="D55" s="7"/>
      <c r="E55" s="10" t="s">
        <v>209</v>
      </c>
      <c r="F55" s="6"/>
      <c r="G55" s="4"/>
      <c r="H55" t="str">
        <f>IFERROR(IF(F55="","",F55-1),"")</f>
        <v/>
      </c>
    </row>
    <row r="56" spans="1:8" ht="64.5" customHeight="1">
      <c r="A56" s="9" t="s">
        <v>210</v>
      </c>
      <c r="B56" s="4" t="s">
        <v>211</v>
      </c>
      <c r="C56" s="7" t="s">
        <v>212</v>
      </c>
      <c r="D56" s="7"/>
      <c r="E56" s="10" t="s">
        <v>213</v>
      </c>
      <c r="F56" s="6"/>
      <c r="G56" s="4"/>
      <c r="H56" t="str">
        <f>IFERROR(IF(F56="","",F56-1),"")</f>
        <v/>
      </c>
    </row>
    <row r="57" spans="1:8" ht="18" customHeight="1">
      <c r="B57" s="3" t="s">
        <v>97</v>
      </c>
      <c r="F57" s="11" t="str">
        <f>IFERROR(AVERAGE(F53:F56),"")</f>
        <v/>
      </c>
      <c r="H57" t="str">
        <f>IFERROR(AVERAGE(H53:H56),"")</f>
        <v/>
      </c>
    </row>
    <row r="58" spans="1:8" ht="17.25" customHeight="1">
      <c r="A58" s="90" t="s">
        <v>214</v>
      </c>
      <c r="B58" s="90"/>
      <c r="C58" s="90"/>
      <c r="D58" s="90"/>
      <c r="E58" s="90"/>
      <c r="F58" s="90"/>
      <c r="G58" s="90"/>
    </row>
    <row r="59" spans="1:8" ht="15" customHeight="1">
      <c r="A59" s="91" t="s">
        <v>215</v>
      </c>
      <c r="B59" s="91"/>
      <c r="C59" s="91"/>
      <c r="D59" s="91"/>
      <c r="E59" s="91"/>
      <c r="F59" s="91"/>
      <c r="G59" s="91"/>
    </row>
    <row r="60" spans="1:8" ht="94.5" customHeight="1">
      <c r="A60" s="9" t="s">
        <v>216</v>
      </c>
      <c r="B60" s="4" t="s">
        <v>217</v>
      </c>
      <c r="C60" s="7" t="s">
        <v>218</v>
      </c>
      <c r="D60" s="7"/>
      <c r="E60" s="10" t="s">
        <v>219</v>
      </c>
      <c r="F60" s="6"/>
      <c r="G60" s="4"/>
      <c r="H60" t="str">
        <f>IFERROR(IF(F60="","",F60-1),"")</f>
        <v/>
      </c>
    </row>
    <row r="61" spans="1:8" ht="77.25" customHeight="1">
      <c r="A61" s="9" t="s">
        <v>220</v>
      </c>
      <c r="B61" s="4" t="s">
        <v>221</v>
      </c>
      <c r="C61" s="7" t="s">
        <v>222</v>
      </c>
      <c r="D61" s="7"/>
      <c r="E61" s="10" t="s">
        <v>223</v>
      </c>
      <c r="F61" s="6"/>
      <c r="G61" s="4"/>
      <c r="H61" t="str">
        <f>IFERROR(IF(F61="","",F61-1),"")</f>
        <v/>
      </c>
    </row>
    <row r="62" spans="1:8" ht="83.25" customHeight="1">
      <c r="A62" s="9" t="s">
        <v>224</v>
      </c>
      <c r="B62" s="4" t="s">
        <v>225</v>
      </c>
      <c r="C62" s="7" t="s">
        <v>226</v>
      </c>
      <c r="D62" s="7"/>
      <c r="E62" s="10" t="s">
        <v>227</v>
      </c>
      <c r="F62" s="6"/>
      <c r="G62" s="4"/>
      <c r="H62" t="str">
        <f>IFERROR(IF(F62="","",F62-1),"")</f>
        <v/>
      </c>
    </row>
    <row r="63" spans="1:8" ht="88.5" customHeight="1">
      <c r="A63" s="9" t="s">
        <v>228</v>
      </c>
      <c r="B63" s="4" t="s">
        <v>229</v>
      </c>
      <c r="C63" s="7" t="s">
        <v>230</v>
      </c>
      <c r="D63" s="7"/>
      <c r="E63" s="10" t="s">
        <v>231</v>
      </c>
      <c r="F63" s="6"/>
      <c r="G63" s="4"/>
      <c r="H63" t="str">
        <f>IFERROR(IF(F63="","",F63-1),"")</f>
        <v/>
      </c>
    </row>
    <row r="64" spans="1:8" ht="18" customHeight="1">
      <c r="B64" s="3" t="s">
        <v>97</v>
      </c>
      <c r="F64" s="11" t="str">
        <f>IFERROR(AVERAGE(F60:F63),"")</f>
        <v/>
      </c>
      <c r="H64" t="str">
        <f>IFERROR(AVERAGE(H60:H63),"")</f>
        <v/>
      </c>
    </row>
    <row r="66" spans="2:8" ht="33.75" customHeight="1">
      <c r="B66" s="15" t="s">
        <v>232</v>
      </c>
      <c r="F66" s="16" t="str">
        <f>IFERROR(AVERAGE(F16,F26,F35,F42,F50,F57,F64),"")</f>
        <v/>
      </c>
      <c r="H66" t="str">
        <f>IFERROR(AVERAGE(H16,H26,H35,H42,H50,H57,H64),"")</f>
        <v/>
      </c>
    </row>
    <row r="68" spans="2:8" ht="15" customHeight="1">
      <c r="B68" s="5" t="s">
        <v>233</v>
      </c>
    </row>
  </sheetData>
  <mergeCells count="20">
    <mergeCell ref="A44:G44"/>
    <mergeCell ref="A51:G51"/>
    <mergeCell ref="A52:G52"/>
    <mergeCell ref="A58:G58"/>
    <mergeCell ref="A59:G59"/>
    <mergeCell ref="A27:G27"/>
    <mergeCell ref="A28:G28"/>
    <mergeCell ref="A36:G36"/>
    <mergeCell ref="A37:G37"/>
    <mergeCell ref="A43:G43"/>
    <mergeCell ref="A8:C8"/>
    <mergeCell ref="A11:G11"/>
    <mergeCell ref="A12:G12"/>
    <mergeCell ref="A17:G17"/>
    <mergeCell ref="A18:G18"/>
    <mergeCell ref="A2:G2"/>
    <mergeCell ref="A3:G3"/>
    <mergeCell ref="A5:C5"/>
    <mergeCell ref="A6:C6"/>
    <mergeCell ref="A7:C7"/>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5"/>
  <sheetViews>
    <sheetView tabSelected="1" topLeftCell="A28" zoomScaleNormal="100" workbookViewId="0">
      <selection activeCell="F37" sqref="F37"/>
    </sheetView>
  </sheetViews>
  <sheetFormatPr defaultColWidth="8.7109375" defaultRowHeight="15"/>
  <cols>
    <col min="1" max="1" width="40.28515625" customWidth="1"/>
    <col min="2" max="2" width="25" customWidth="1"/>
    <col min="3" max="3" width="42.42578125" customWidth="1"/>
  </cols>
  <sheetData>
    <row r="1" spans="1:3" ht="21.75" customHeight="1">
      <c r="A1" s="31" t="s">
        <v>234</v>
      </c>
    </row>
    <row r="2" spans="1:3" ht="30" customHeight="1">
      <c r="A2" s="32" t="s">
        <v>235</v>
      </c>
    </row>
    <row r="3" spans="1:3" ht="19.5" customHeight="1">
      <c r="A3" s="33" t="s">
        <v>236</v>
      </c>
    </row>
    <row r="4" spans="1:3" ht="19.5" customHeight="1">
      <c r="A4" s="34" t="s">
        <v>237</v>
      </c>
      <c r="B4" s="34" t="s">
        <v>238</v>
      </c>
      <c r="C4" s="34" t="s">
        <v>239</v>
      </c>
    </row>
    <row r="5" spans="1:3" ht="18" customHeight="1">
      <c r="A5" s="35" t="s">
        <v>240</v>
      </c>
      <c r="B5" s="36" t="str">
        <f>'La tua realtà'!F16</f>
        <v/>
      </c>
      <c r="C5" s="37" t="s">
        <v>241</v>
      </c>
    </row>
    <row r="6" spans="1:3" ht="18" customHeight="1">
      <c r="A6" s="38" t="s">
        <v>242</v>
      </c>
      <c r="B6" s="39" t="str">
        <f>'La tua realtà'!F26</f>
        <v/>
      </c>
      <c r="C6" s="40" t="s">
        <v>243</v>
      </c>
    </row>
    <row r="7" spans="1:3" ht="18" customHeight="1">
      <c r="A7" s="35" t="s">
        <v>244</v>
      </c>
      <c r="B7" s="36" t="str">
        <f>'La tua realtà'!F35</f>
        <v/>
      </c>
      <c r="C7" s="37" t="s">
        <v>245</v>
      </c>
    </row>
    <row r="8" spans="1:3" ht="18" customHeight="1">
      <c r="A8" s="38" t="s">
        <v>246</v>
      </c>
      <c r="B8" s="39" t="str">
        <f>'La tua realtà'!F42</f>
        <v/>
      </c>
      <c r="C8" s="40" t="s">
        <v>247</v>
      </c>
    </row>
    <row r="9" spans="1:3" ht="18" customHeight="1">
      <c r="A9" s="35" t="s">
        <v>248</v>
      </c>
      <c r="B9" s="36" t="str">
        <f>'La tua realtà'!F50</f>
        <v/>
      </c>
      <c r="C9" s="37" t="s">
        <v>249</v>
      </c>
    </row>
    <row r="10" spans="1:3" ht="18" customHeight="1">
      <c r="A10" s="38" t="s">
        <v>250</v>
      </c>
      <c r="B10" s="39" t="str">
        <f>'La tua realtà'!F57</f>
        <v/>
      </c>
      <c r="C10" s="40" t="s">
        <v>251</v>
      </c>
    </row>
    <row r="11" spans="1:3" ht="18" customHeight="1">
      <c r="A11" s="35" t="s">
        <v>252</v>
      </c>
      <c r="B11" s="36" t="str">
        <f>'La tua realtà'!F64</f>
        <v/>
      </c>
      <c r="C11" s="37" t="s">
        <v>253</v>
      </c>
    </row>
    <row r="12" spans="1:3" ht="18" customHeight="1">
      <c r="A12" s="38" t="s">
        <v>254</v>
      </c>
      <c r="B12" s="39" t="str">
        <f>'La tua realtà'!F66</f>
        <v/>
      </c>
      <c r="C12" s="40" t="s">
        <v>255</v>
      </c>
    </row>
    <row r="13" spans="1:3" ht="18" customHeight="1">
      <c r="A13" s="35" t="s">
        <v>256</v>
      </c>
      <c r="B13" s="36" t="str">
        <f>IFERROR(AVERAGE(B5,B10,B11),"")</f>
        <v/>
      </c>
      <c r="C13" s="37" t="s">
        <v>257</v>
      </c>
    </row>
    <row r="14" spans="1:3" ht="18" customHeight="1">
      <c r="A14" s="38" t="s">
        <v>258</v>
      </c>
      <c r="B14" s="39" t="str">
        <f>IFERROR(AVERAGE(B6,B7,B8,B9),"")</f>
        <v/>
      </c>
      <c r="C14" s="40" t="s">
        <v>259</v>
      </c>
    </row>
    <row r="15" spans="1:3" ht="18" customHeight="1">
      <c r="A15" s="35" t="s">
        <v>260</v>
      </c>
      <c r="B15" s="36">
        <f>IFERROR(('La tua realtà'!F13+'La tua realtà'!F14+'La tua realtà'!F15+'La tua realtà'!F54*0.5)/3.5,"")</f>
        <v>0</v>
      </c>
      <c r="C15" s="37" t="s">
        <v>261</v>
      </c>
    </row>
    <row r="16" spans="1:3" ht="18" customHeight="1">
      <c r="A16" s="38" t="s">
        <v>262</v>
      </c>
      <c r="B16" s="39" t="str">
        <f>IFERROR(('La tua realtà'!F26+'La tua realtà'!F35)/2,"")</f>
        <v/>
      </c>
      <c r="C16" s="40" t="s">
        <v>263</v>
      </c>
    </row>
    <row r="17" spans="1:3">
      <c r="A17" s="35" t="s">
        <v>264</v>
      </c>
      <c r="B17" s="36">
        <f>IFERROR('La tua realtà'!F21,"")</f>
        <v>0</v>
      </c>
      <c r="C17" s="37" t="s">
        <v>265</v>
      </c>
    </row>
    <row r="18" spans="1:3" ht="18" customHeight="1">
      <c r="A18" s="38" t="s">
        <v>266</v>
      </c>
      <c r="B18" s="39">
        <f>IFERROR(('La tua realtà'!F45+'La tua realtà'!F48*0.5+'La tua realtà'!F49+'La tua realtà'!F53+'La tua realtà'!F54+'La tua realtà'!F55*0.5+'La tua realtà'!F56)/6,"")</f>
        <v>0</v>
      </c>
      <c r="C18" s="40" t="s">
        <v>267</v>
      </c>
    </row>
    <row r="19" spans="1:3" ht="18" customHeight="1">
      <c r="A19" s="35" t="s">
        <v>268</v>
      </c>
      <c r="B19" s="36">
        <f>IFERROR(('La tua realtà'!F46+'La tua realtà'!F47+'La tua realtà'!F60*0.5+'La tua realtà'!F23*0.5+'La tua realtà'!F25*0.5)/3.5,"")</f>
        <v>0</v>
      </c>
      <c r="C19" s="37" t="s">
        <v>269</v>
      </c>
    </row>
    <row r="20" spans="1:3" ht="33" customHeight="1">
      <c r="A20" s="38" t="s">
        <v>270</v>
      </c>
      <c r="B20" s="39">
        <f>IFERROR(('La tua realtà'!F30+'La tua realtà'!F33+'La tua realtà'!F34+'La tua realtà'!F47)/4,"")</f>
        <v>0</v>
      </c>
      <c r="C20" s="40" t="s">
        <v>271</v>
      </c>
    </row>
    <row r="21" spans="1:3" ht="18" customHeight="1">
      <c r="A21" s="35" t="s">
        <v>272</v>
      </c>
      <c r="B21" s="36" t="str">
        <f>IFERROR(('La tua realtà'!F42+'La tua realtà'!F64)/2,"")</f>
        <v/>
      </c>
      <c r="C21" s="37" t="s">
        <v>273</v>
      </c>
    </row>
    <row r="22" spans="1:3" ht="18" customHeight="1">
      <c r="A22" s="38"/>
      <c r="B22" s="39"/>
      <c r="C22" s="40"/>
    </row>
    <row r="23" spans="1:3" ht="18" customHeight="1">
      <c r="A23" s="35" t="s">
        <v>274</v>
      </c>
      <c r="B23" s="36" t="str">
        <f>IFERROR(IF('Prima di iniziare'!C8="","",'Prima di iniziare'!C8),"")</f>
        <v/>
      </c>
      <c r="C23" s="37" t="s">
        <v>275</v>
      </c>
    </row>
    <row r="24" spans="1:3" ht="18" customHeight="1">
      <c r="A24" s="38" t="s">
        <v>276</v>
      </c>
      <c r="B24" s="39" t="str">
        <f>IFERROR(IF('Prima di iniziare'!C9="","",'Prima di iniziare'!C9),"")</f>
        <v/>
      </c>
      <c r="C24" s="40" t="s">
        <v>277</v>
      </c>
    </row>
    <row r="25" spans="1:3">
      <c r="A25" s="35" t="s">
        <v>278</v>
      </c>
      <c r="B25" s="36" t="str">
        <f>IFERROR(IF('Prima di iniziare'!C10="","",'Prima di iniziare'!C10),"")</f>
        <v/>
      </c>
      <c r="C25" s="37" t="s">
        <v>279</v>
      </c>
    </row>
    <row r="26" spans="1:3">
      <c r="A26" s="38" t="s">
        <v>280</v>
      </c>
      <c r="B26" s="39" t="str">
        <f>IFERROR(IF('Prima di iniziare'!C11="","",'Prima di iniziare'!C11),"")</f>
        <v/>
      </c>
      <c r="C26" s="40" t="s">
        <v>281</v>
      </c>
    </row>
    <row r="27" spans="1:3" ht="19.5" customHeight="1">
      <c r="A27" s="35" t="s">
        <v>282</v>
      </c>
      <c r="B27" s="36" t="str">
        <f>IFERROR(IF('Prima di iniziare'!C12="","",'Prima di iniziare'!C12),"")</f>
        <v/>
      </c>
      <c r="C27" s="37" t="s">
        <v>283</v>
      </c>
    </row>
    <row r="28" spans="1:3">
      <c r="A28" s="38" t="s">
        <v>284</v>
      </c>
      <c r="B28" s="39" t="str">
        <f>IFERROR(IF('Prima di iniziare'!C13="","",'Prima di iniziare'!C13),"")</f>
        <v/>
      </c>
      <c r="C28" s="40" t="s">
        <v>285</v>
      </c>
    </row>
    <row r="29" spans="1:3">
      <c r="A29" s="35" t="s">
        <v>286</v>
      </c>
      <c r="B29" s="36" t="str">
        <f>IFERROR(IF('Prima di iniziare'!C14="","",'Prima di iniziare'!C14),"")</f>
        <v/>
      </c>
      <c r="C29" s="37" t="s">
        <v>287</v>
      </c>
    </row>
    <row r="31" spans="1:3" ht="57.75">
      <c r="A31" s="82" t="s">
        <v>288</v>
      </c>
    </row>
    <row r="32" spans="1:3" ht="19.5" customHeight="1">
      <c r="A32" s="79" t="s">
        <v>289</v>
      </c>
      <c r="B32" s="34"/>
      <c r="C32" s="34"/>
    </row>
    <row r="33" spans="1:3">
      <c r="A33" s="35" t="s">
        <v>290</v>
      </c>
      <c r="B33" s="41" t="s">
        <v>291</v>
      </c>
      <c r="C33" s="42" t="s">
        <v>292</v>
      </c>
    </row>
    <row r="34" spans="1:3" ht="79.5" customHeight="1">
      <c r="A34" s="38" t="s">
        <v>293</v>
      </c>
      <c r="B34" s="43" t="str">
        <f>IFERROR(IF(B13="","",IF(AND(B13&gt;=3.5,B14&gt;=3.5),"Profilo 1 — Equilibrio attivo e robusto",IF(AND(B13&gt;=3.5,B14&lt;2.5),"Profilo 2 — Posizionamento forte, basi da consolidare",IF(AND(B13&lt;2.5,B14&gt;=3.5),"Profilo 3 — Basi solide, posizionamento da costruire",IF(AND(B12&gt;=3,COUNTIF(B5:B11,"&lt;2")&gt;=1),"Profilo 5 — Solidita' con punti ciechi",IF(B12&lt;2.5,"Profilo 6 — Fragilita' strutturale","Profilo 4 — In divenire")))))),"")</f>
        <v/>
      </c>
      <c r="C34" s="44" t="str">
        <f>IFERROR(IF(B13="","",IF(AND(B13&gt;=3.5,B14&gt;=3.5),'1_Apertura'!D4,IF(AND(B13&gt;=3.5,B14&lt;2.5),'1_Apertura'!D5,IF(AND(B13&lt;2.5,B14&gt;=3.5),'1_Apertura'!D6,IF(AND(B12&gt;=3,COUNTIF(B5:B11,"&lt;2")&gt;=1),'1_Apertura'!D8,IF(B12&lt;2.5,'1_Apertura'!D9,'1_Apertura'!D7)))))),"")</f>
        <v/>
      </c>
    </row>
    <row r="37" spans="1:3" ht="79.5" customHeight="1">
      <c r="A37" s="80" t="s">
        <v>294</v>
      </c>
    </row>
    <row r="38" spans="1:3" ht="79.5" customHeight="1">
      <c r="A38" s="79" t="s">
        <v>295</v>
      </c>
      <c r="B38" s="34" t="s">
        <v>296</v>
      </c>
      <c r="C38" s="34" t="s">
        <v>292</v>
      </c>
    </row>
    <row r="39" spans="1:3">
      <c r="A39" s="35" t="s">
        <v>297</v>
      </c>
      <c r="B39" s="41" t="str">
        <f>IFERROR(IF(B5="","",IF(B5&lt;=2.25,"≤2.25 (Vulnerabile)",IF(B5&lt;3,"&lt;3 (In costruzione)",IF(B5&lt;3.5,"&lt;3.5 (Sufficiente)",IF(B5&lt;4,"&lt;4 (Solido)","≤5 (Forte)"))))),"")</f>
        <v/>
      </c>
      <c r="C39" s="42" t="str">
        <f>IFERROR(IF(B5="","",IF(B5&lt;=2,'2_Le7Aree'!C5,IF(B5&lt;=3,'2_Le7Aree'!C6,IF(B5&lt;=4,'2_Le7Aree'!C7,'2_Le7Aree'!C8)))),"")</f>
        <v/>
      </c>
    </row>
    <row r="40" spans="1:3" ht="19.5" customHeight="1">
      <c r="A40" s="38" t="s">
        <v>298</v>
      </c>
      <c r="B40" s="43" t="str">
        <f>IFERROR(IF(B6="","",IF(B6&lt;=2.25,"≤2.25 (Vulnerabile)",IF(B6&lt;3,"&lt;3 (In costruzione)",IF(B6&lt;3.5,"&lt;3.5 (Sufficiente)",IF(B6&lt;4,"&lt;4 (Solido)","≤5 (Forte)"))))),"")</f>
        <v/>
      </c>
      <c r="C40" s="44" t="str">
        <f>IFERROR(IF(B6="","",IF(B6&lt;=2,'2_Le7Aree'!C11,IF(B6&lt;=3,'2_Le7Aree'!C12,IF(B6&lt;=4,'2_Le7Aree'!C13,'2_Le7Aree'!C14)))),"")</f>
        <v/>
      </c>
    </row>
    <row r="41" spans="1:3" ht="19.5" customHeight="1">
      <c r="A41" s="35" t="s">
        <v>299</v>
      </c>
      <c r="B41" s="41" t="str">
        <f>IFERROR(IF(B7="","",IF(B7&lt;=2.25,"≤2.25 (Vulnerabile)",IF(B7&lt;3,"&lt;3 (In costruzione)",IF(B7&lt;3.5,"&lt;3.5 (Sufficiente)",IF(B7&lt;4,"&lt;4 (Solido)","≤5 (Forte)"))))),"")</f>
        <v/>
      </c>
      <c r="C41" s="42" t="str">
        <f>IFERROR(IF(B7="","",IF(B7&lt;=2,'2_Le7Aree'!C17,IF(B7&lt;=3,'2_Le7Aree'!C18,IF(B7&lt;=4,'2_Le7Aree'!C19,'2_Le7Aree'!C20)))),"")</f>
        <v/>
      </c>
    </row>
    <row r="42" spans="1:3" ht="18" customHeight="1">
      <c r="A42" s="38" t="s">
        <v>300</v>
      </c>
      <c r="B42" s="43" t="str">
        <f>IFERROR(IF(B8="","",IF(B8&lt;=2.25,"≤2.25 (Vulnerabile)",IF(B8&lt;3,"&lt;3 (In costruzione)",IF(B8&lt;3.5,"&lt;3.5 (Sufficiente)",IF(B8&lt;4,"&lt;4 (Solido)","≤5 (Forte)"))))),"")</f>
        <v/>
      </c>
      <c r="C42" s="44" t="str">
        <f>IFERROR(IF(B8="","",IF(B8&lt;=2,'2_Le7Aree'!C23,IF(B8&lt;=3,'2_Le7Aree'!C24,IF(B8&lt;=4,'2_Le7Aree'!C25,'2_Le7Aree'!C26)))),"")</f>
        <v/>
      </c>
    </row>
    <row r="43" spans="1:3">
      <c r="A43" s="35" t="s">
        <v>301</v>
      </c>
      <c r="B43" s="41" t="str">
        <f>IFERROR(IF(B9="","",IF(B9&lt;=2.25,"≤2.25 (Vulnerabile)",IF(B9&lt;3,"&lt;3 (In costruzione)",IF(B9&lt;3.5,"&lt;3.5 (Sufficiente)",IF(B9&lt;4,"&lt;4 (Solido)","≤5 (Forte)"))))),"")</f>
        <v/>
      </c>
      <c r="C43" s="42" t="str">
        <f>IFERROR(IF(B9="","",IF(B9&lt;=2,'2_Le7Aree'!C29,IF(B9&lt;=3,'2_Le7Aree'!C30,IF(B9&lt;=4,'2_Le7Aree'!C31,'2_Le7Aree'!C32)))),"")</f>
        <v/>
      </c>
    </row>
    <row r="44" spans="1:3">
      <c r="A44" s="38" t="s">
        <v>302</v>
      </c>
      <c r="B44" s="43" t="str">
        <f>IFERROR(IF(B10="","",IF(B10&lt;=2.25,"≤2.25 (Vulnerabile)",IF(B10&lt;3,"&lt;3 (In costruzione)",IF(B10&lt;3.5,"&lt;3.5 (Sufficiente)",IF(B10&lt;4,"&lt;4 (Solido)","≤5 (Forte)"))))),"")</f>
        <v/>
      </c>
      <c r="C44" s="44" t="str">
        <f>IFERROR(IF(B10="","",IF(B10&lt;=2,'2_Le7Aree'!C35,IF(B10&lt;=3,'2_Le7Aree'!C36,IF(B10&lt;=4,'2_Le7Aree'!C37,'2_Le7Aree'!C38)))),"")</f>
        <v/>
      </c>
    </row>
    <row r="45" spans="1:3">
      <c r="A45" s="35" t="s">
        <v>303</v>
      </c>
      <c r="B45" s="41" t="str">
        <f>IFERROR(IF(B11="","",IF(B11&lt;=2.25,"≤2.25 (Vulnerabile)",IF(B11&lt;3,"&lt;3 (In costruzione)",IF(B11&lt;3.5,"&lt;3.5 (Sufficiente)",IF(B11&lt;4,"&lt;4 (Solido)","≤5 (Forte)"))))),"")</f>
        <v/>
      </c>
      <c r="C45" s="42" t="str">
        <f>IFERROR(IF(B11="","",IF(B11&lt;=2,'2_Le7Aree'!C41,IF(B11&lt;=3,'2_Le7Aree'!C42,IF(B11&lt;=4,'2_Le7Aree'!C43,'2_Le7Aree'!C44)))),"")</f>
        <v/>
      </c>
    </row>
    <row r="46" spans="1:3" ht="19.5" customHeight="1"/>
    <row r="47" spans="1:3" ht="19.5" customHeight="1"/>
    <row r="48" spans="1:3" ht="19.5" customHeight="1">
      <c r="A48" s="80"/>
    </row>
    <row r="49" spans="1:5" ht="72">
      <c r="A49" s="80" t="s">
        <v>304</v>
      </c>
    </row>
    <row r="50" spans="1:5">
      <c r="A50" s="79" t="s">
        <v>305</v>
      </c>
      <c r="B50" s="34" t="s">
        <v>306</v>
      </c>
      <c r="C50" s="34" t="s">
        <v>307</v>
      </c>
      <c r="D50" s="45" t="s">
        <v>308</v>
      </c>
      <c r="E50" s="45" t="s">
        <v>292</v>
      </c>
    </row>
    <row r="51" spans="1:5">
      <c r="A51" s="35" t="s">
        <v>309</v>
      </c>
      <c r="B51" s="41">
        <f>B15</f>
        <v>0</v>
      </c>
      <c r="C51" s="42" t="str">
        <f>IFERROR(IF(B15="","",IF(B15&lt;=1.5,"≤1.5 (Fragile)",IF(B15&lt;=2.5,"≤2.5 (Vulnerabile)",IF(B15&lt;=3.5,"&gt;2.5 (Adeguata)","&gt;3.5 (Solida)")))),"")</f>
        <v>≤1.5 (Fragile)</v>
      </c>
      <c r="D51" t="str">
        <f>IFERROR(IF(B15="","",IF(B15&lt;=2.5,"WARN","OK")),"")</f>
        <v>WARN</v>
      </c>
      <c r="E51" t="str">
        <f>IFERROR(IF(B15="","",IF(B15&lt;=1.5,'3_Subindici'!C5,IF(B15&lt;=2.5,'3_Subindici'!C6,IF(B15&lt;=3.5,'3_Subindici'!C7,'3_Subindici'!C8)))),"")</f>
        <v>Il tuo posizionamento è sotto la soglia critica. In questo momento chi non ti conosce non riesce a capire perché dovrebbe sceglierti — e in assenza di un motivo chiaro, tende a decidere in base al prezzo o alla posizione. Non si tratta di fare comunicazione: si tratta di capire, prima di tutto internamente, cosa ti rende diverso in modo autentico e riproducibile. Finché questa chiarezza non c'è, ogni investimento in marketing costruisce su fondamenta instabili. Il punto di partenza non è uno strumento — è una conversazione onesta con te stesso su quello che fa davvero la differenza per i tuoi clienti migliori.</v>
      </c>
    </row>
    <row r="52" spans="1:5">
      <c r="A52" s="38" t="s">
        <v>310</v>
      </c>
      <c r="B52" s="43" t="str">
        <f>B16</f>
        <v/>
      </c>
      <c r="C52" s="44" t="str">
        <f>IFERROR(IF(B16="","",IF(B16&lt;=1.5,"≤1.5 (Fragile)",IF(B16&lt;=2.5,"≤2.5 (Vulnerabile)",IF(B16&lt;=3.5,"&gt;2.5 (Adeguata)","&gt;3.5 (Solida)")))),"")</f>
        <v/>
      </c>
      <c r="D52" t="str">
        <f>IFERROR(IF(B16="","",IF(B16&lt;=2,"KO","OK")),"")</f>
        <v/>
      </c>
      <c r="E52" t="str">
        <f>IFERROR(IF(B16="","",IF(B16&lt;=1.5,'3_Subindici'!C10,IF(B16&lt;=2.5,'3_Subindici'!C11,IF(B16&lt;=3.5,'3_Subindici'!C12,'3_Subindici'!C13)))),"")</f>
        <v/>
      </c>
    </row>
    <row r="53" spans="1:5">
      <c r="A53" s="35" t="s">
        <v>311</v>
      </c>
      <c r="B53" s="41">
        <f>B17</f>
        <v>0</v>
      </c>
      <c r="C53" s="42" t="str">
        <f>IFERROR(IF(B17="","",IF(B17&lt;=1.5,"≤1.5 (Fragile)",IF(B17&lt;=2.5,"≤2.5 (Vulnerabile)",IF(B17&lt;=3.5,"&gt;2.5 (Adeguata)","&gt;3.5 (Solida)")))),"")</f>
        <v>≤1.5 (Fragile)</v>
      </c>
      <c r="D53" t="str">
        <f>IFERROR(IF(B17="","",IF(B17&lt;=2,"KO","OK")),"")</f>
        <v>KO</v>
      </c>
      <c r="E53" t="str">
        <f>IFERROR(IF(B17="","",IF(B17&lt;=1.5,'3_Subindici'!C15,IF(B17&lt;=2.5,'3_Subindici'!C16,IF(B17&lt;=3.5,'3_Subindici'!C17,'3_Subindici'!C18)))),"")</f>
        <v>Meno di un mese di copertura delle spese fisse. Questo non è un problema di gestione finanziaria — è un'emergenza strutturale. Qualsiasi shock esterno — una settimana lenta, una spesa imprevista, un pagamento in ritardo — può mettere in difficoltà la continuità dell'attività. L'unica priorità adesso è stabilizzare la cassa: ridurre le spese fisse non essenziali, accelerare gli incassi, identificare le voci che si possono posticipare. Ogni altra decisione aspetta che questo indicatore sia fuori dalla zona critica.</v>
      </c>
    </row>
    <row r="54" spans="1:5">
      <c r="A54" s="38" t="s">
        <v>312</v>
      </c>
      <c r="B54" s="43">
        <f>B18</f>
        <v>0</v>
      </c>
      <c r="C54" s="44" t="str">
        <f>IFERROR(IF(B18="","",IF(B18&lt;=1.5,"≤1.5 (Fragile)",IF(B18&lt;=2.5,"≤2.5 (Vulnerabile)",IF(B18&lt;=3.5,"&gt;2.5 (Adeguata)","&gt;3.5 (Solida)")))),"")</f>
        <v>≤1.5 (Fragile)</v>
      </c>
      <c r="D54" t="str">
        <f>IFERROR(IF(B18="","",IF(B18&lt;=2.5,"WARN","OK")),"")</f>
        <v>WARN</v>
      </c>
      <c r="E54" t="str">
        <f>IFERROR(IF(B18="","",IF(B18&lt;=1.5,'3_Subindici'!C20,IF(B18&lt;=2.5,'3_Subindici'!C21,IF(B18&lt;=3.5,'3_Subindici'!C22,'3_Subindici'!C23)))),"")</f>
        <v>L'attività dipende interamente da te e opera in isolamento sostanziale. Se ti fermi — anche solo per una settimana — si ferma tutto. E senza una rete nel territorio che possa supportarti, ogni problema si affronta da soli. Queste due fragilità si rinforzano: un sistema fragile senza rete è un'attività che non può permettersi nessuno shock. La priorità è duplice: scrivi il processo più critico della tua attività su un foglio — tre passaggi, in ordine — e contatta tre operatori del territorio questa settimana.</v>
      </c>
    </row>
    <row r="55" spans="1:5">
      <c r="A55" s="35" t="s">
        <v>313</v>
      </c>
      <c r="B55" s="41">
        <f>B19</f>
        <v>0</v>
      </c>
      <c r="C55" s="42" t="str">
        <f>IFERROR(IF(B19="","",IF(B19&lt;=1.5,"≤1.5 (Fragile)",IF(B19&lt;=2.5,"≤2.5 (Vulnerabile)",IF(B19&lt;=3.5,"&gt;2.5 (Adeguata)","&gt;3.5 (Solida)")))),"")</f>
        <v>≤1.5 (Fragile)</v>
      </c>
      <c r="D55" t="str">
        <f>IFERROR(IF(B19="","",IF(B19&lt;=2.5,"WARN","OK")),"")</f>
        <v>WARN</v>
      </c>
      <c r="E55" t="str">
        <f>IFERROR(IF(B19="","",IF(B19&lt;=1.5,'3_Subindici'!C25,IF(B19&lt;=2.5,'3_Subindici'!C26,IF(B19&lt;=3.5,'3_Subindici'!C27,'3_Subindici'!C28)))),"")</f>
        <v>L'esposizione digitale è sotto la soglia critica. Strumenti inadeguati, dati dei clienti non protetti, assenza di canali diretti e mancato uso delle informazioni disponibili creano una fragilità che si vede poco finché non diventa un problema concreto: una violazione dei dati, una prenotazione persa a causa di un intermediario, una decisione presa senza le informazioni necessarie. Non serve diventare esperti di tecnologia: servono strumenti di base, usati con metodo. L'impatto di un intervento in quest'area è spesso alto e il costo di ingresso è generalmente basso.</v>
      </c>
    </row>
    <row r="56" spans="1:5">
      <c r="A56" s="38" t="s">
        <v>314</v>
      </c>
      <c r="B56" s="43">
        <f>B20</f>
        <v>0</v>
      </c>
      <c r="C56" s="44" t="str">
        <f>IFERROR(IF(B20="","",IF(B20&lt;=1.5,"≤1.5 (Fragile)",IF(B20&lt;=2.5,"≤2.5 (Vulnerabile)",IF(B20&lt;=3.5,"&gt;2.5 (Adeguata)","&gt;3.5 (Solida)")))),"")</f>
        <v>≤1.5 (Fragile)</v>
      </c>
      <c r="D56" t="str">
        <f>IFERROR(IF(B20="","",IF(B20&lt;=2,"KO",IF(B20&lt;=3,"WARN","OK"))),"")</f>
        <v>KO</v>
      </c>
      <c r="E56" t="str">
        <f>IFERROR(IF(B20="","",IF(B20&lt;=1.5,'3_Subindici'!C30,IF(B20&lt;=2.5,'3_Subindici'!C31,IF(B20&lt;=3.5,'3_Subindici'!C32,'3_Subindici'!C33)))),"")</f>
        <v>Ci sono gap di compliance significativi su più fronti. Non sapere è rischioso quanto sapere e ignorare: un controllo normativo, un sinistro non coperto o un arretrato fiscale possono generare costi sproporzionati rispetto alle dimensioni dell'attività. La priorità è fare una lista delle criticità note — normative, assicurative, fiscali — e affrontarle in ordine di urgenza. Non tutto va risolto subito, ma tutto deve avere un calendario. Il costo della compliance è fisso e prevedibile; il costo dell'esposizione è imprevedibile e spesso moltiplicatore.</v>
      </c>
    </row>
    <row r="57" spans="1:5">
      <c r="A57" s="35" t="s">
        <v>315</v>
      </c>
      <c r="B57" s="41" t="str">
        <f>B21</f>
        <v/>
      </c>
      <c r="C57" s="42" t="str">
        <f>IFERROR(IF(B21="","",IF(B21&lt;=1.5,"≤1.5 (Fragile)",IF(B21&lt;=2.5,"≤2.5 (Vulnerabile)",IF(B21&lt;=3.5,"&gt;2.5 (Adeguata)","&gt;3.5 (Solida)")))),"")</f>
        <v/>
      </c>
      <c r="D57" t="str">
        <f>IFERROR(IF(B21="","",IF(B21&lt;=2.5,"WARN","OK")),"")</f>
        <v/>
      </c>
      <c r="E57" t="str">
        <f>IFERROR(IF(B21="","",IF(B21&lt;=1.5,'3_Subindici'!C35,IF(B21&lt;=2.5,'3_Subindici'!C36,IF(B21&lt;=3.5,'3_Subindici'!C37,'3_Subindici'!C38)))),"")</f>
        <v/>
      </c>
    </row>
    <row r="58" spans="1:5" ht="19.5" customHeight="1"/>
    <row r="59" spans="1:5" ht="19.5" customHeight="1">
      <c r="A59" s="81"/>
      <c r="B59" s="81"/>
      <c r="C59" s="81"/>
    </row>
    <row r="60" spans="1:5" ht="95.25" customHeight="1">
      <c r="A60" s="80" t="s">
        <v>316</v>
      </c>
    </row>
    <row r="61" spans="1:5" ht="79.5" customHeight="1">
      <c r="A61" s="79" t="s">
        <v>295</v>
      </c>
      <c r="B61" s="34" t="s">
        <v>317</v>
      </c>
      <c r="C61" s="34" t="s">
        <v>292</v>
      </c>
    </row>
    <row r="62" spans="1:5">
      <c r="A62" s="38" t="s">
        <v>297</v>
      </c>
      <c r="B62" s="39" t="str">
        <f>IFERROR(IF(OR(B5="",B23=""),"(percezione non compilata)",IF(ABS(B5-B23)&lt;1.5,"Gap &lt; 1.5",IF(B5-B23&lt;0,"Percezione &gt; Analisi (gap="&amp;TEXT(B5-B23,"0.00")&amp;")","Percezione &lt; Analisi (gap="&amp;TEXT(B5-B23,"+0.00")&amp;")"))),"")</f>
        <v>(percezione non compilata)</v>
      </c>
      <c r="C62" s="40" t="str">
        <f>IFERROR(IF(OR(B5="",B23=""),"",IF(ABS(B5-B23)&lt;1.5,"—",IF(B5-B23&lt;0,'4_PercAnalisi'!C5,'4_PercAnalisi'!C6))),"")</f>
        <v/>
      </c>
    </row>
    <row r="63" spans="1:5">
      <c r="A63" s="35" t="s">
        <v>298</v>
      </c>
      <c r="B63" s="36" t="str">
        <f>IFERROR(IF(OR(B6="",B24=""),"(percezione non compilata)",IF(ABS(B6-B24)&lt;1.5,"Gap &lt; 1.5",IF(B6-B24&lt;0,"Percezione &gt; Analisi (gap="&amp;TEXT(B6-B24,"0.00")&amp;")","Percezione &lt; Analisi (gap="&amp;TEXT(B6-B24,"+0.00")&amp;")"))),"")</f>
        <v>(percezione non compilata)</v>
      </c>
      <c r="C63" s="37" t="str">
        <f>IFERROR(IF(OR(B6="",B24=""),"",IF(ABS(B6-B24)&lt;1.5,"—",IF(B6-B24&lt;0,'4_PercAnalisi'!C8,'4_PercAnalisi'!C9))),"")</f>
        <v/>
      </c>
    </row>
    <row r="64" spans="1:5">
      <c r="A64" s="38" t="s">
        <v>299</v>
      </c>
      <c r="B64" s="39" t="str">
        <f>IFERROR(IF(OR(B7="",B25=""),"(percezione non compilata)",IF(ABS(B7-B25)&lt;1.5,"Gap &lt; 1.5",IF(B7-B25&lt;0,"Percezione &gt; Analisi (gap="&amp;TEXT(B7-B25,"0.00")&amp;")","Percezione &lt; Analisi (gap="&amp;TEXT(B7-B25,"+0.00")&amp;")"))),"")</f>
        <v>(percezione non compilata)</v>
      </c>
      <c r="C64" s="40" t="str">
        <f>IFERROR(IF(OR(B7="",B25=""),"",IF(ABS(B7-B25)&lt;1.5,"—",IF(B7-B25&lt;0,'4_PercAnalisi'!C11,'4_PercAnalisi'!C12))),"")</f>
        <v/>
      </c>
    </row>
    <row r="65" spans="1:5">
      <c r="A65" s="35" t="s">
        <v>300</v>
      </c>
      <c r="B65" s="36" t="str">
        <f>IFERROR(IF(OR(B8="",B26=""),"(percezione non compilata)",IF(ABS(B8-B26)&lt;1.5,"Gap &lt; 1.5",IF(B8-B26&lt;0,"Percezione &gt; Analisi (gap="&amp;TEXT(B8-B26,"0.00")&amp;")","Percezione &lt; Analisi (gap="&amp;TEXT(B8-B26,"+0.00")&amp;")"))),"")</f>
        <v>(percezione non compilata)</v>
      </c>
      <c r="C65" s="37" t="str">
        <f>IFERROR(IF(OR(B8="",B26=""),"",IF(ABS(B8-B26)&lt;1.5,"—",IF(B8-B26&lt;0,'4_PercAnalisi'!C14,'4_PercAnalisi'!C15))),"")</f>
        <v/>
      </c>
    </row>
    <row r="66" spans="1:5">
      <c r="A66" s="38" t="s">
        <v>301</v>
      </c>
      <c r="B66" s="39" t="str">
        <f>IFERROR(IF(OR(B9="",B27=""),"(percezione non compilata)",IF(ABS(B9-B27)&lt;1.5,"Gap &lt; 1.5",IF(B9-B27&lt;0,"Percezione &gt; Analisi (gap="&amp;TEXT(B9-B27,"0.00")&amp;")","Percezione &lt; Analisi (gap="&amp;TEXT(B9-B27,"+0.00")&amp;")"))),"")</f>
        <v>(percezione non compilata)</v>
      </c>
      <c r="C66" s="40" t="str">
        <f>IFERROR(IF(OR(B9="",B27=""),"",IF(ABS(B9-B27)&lt;1.5,"—",IF(B9-B27&lt;0,'4_PercAnalisi'!C17,'4_PercAnalisi'!C18))),"")</f>
        <v/>
      </c>
    </row>
    <row r="67" spans="1:5" ht="19.5" customHeight="1">
      <c r="A67" s="35" t="s">
        <v>302</v>
      </c>
      <c r="B67" s="36" t="str">
        <f>IFERROR(IF(OR(B10="",B28=""),"(percezione non compilata)",IF(ABS(B10-B28)&lt;1.5,"Gap &lt; 1.5",IF(B10-B28&lt;0,"Percezione &gt; Analisi (gap="&amp;TEXT(B10-B28,"0.00")&amp;")","Percezione &lt; Analisi (gap="&amp;TEXT(B10-B28,"+0.00")&amp;")"))),"")</f>
        <v>(percezione non compilata)</v>
      </c>
      <c r="C67" s="37" t="str">
        <f>IFERROR(IF(OR(B10="",B28=""),"",IF(ABS(B10-B28)&lt;1.5,"—",IF(B10-B28&lt;0,'4_PercAnalisi'!C20,'4_PercAnalisi'!C21))),"")</f>
        <v/>
      </c>
    </row>
    <row r="68" spans="1:5">
      <c r="A68" s="38" t="s">
        <v>303</v>
      </c>
      <c r="B68" s="39" t="str">
        <f>IFERROR(IF(OR(B11="",B29=""),"(percezione non compilata)",IF(ABS(B11-B29)&lt;1.5,"Gap &lt; 1.5",IF(B11-B29&lt;0,"Percezione &gt; Analisi (gap="&amp;TEXT(B11-B29,"0.00")&amp;")","Percezione &lt; Analisi (gap="&amp;TEXT(B11-B29,"+0.00")&amp;")"))),"")</f>
        <v>(percezione non compilata)</v>
      </c>
      <c r="C68" s="40" t="str">
        <f>IFERROR(IF(OR(B11="",B29=""),"",IF(ABS(B11-B29)&lt;1.5,"—",IF(B11-B29&lt;0,'4_PercAnalisi'!C23,'4_PercAnalisi'!C24))),"")</f>
        <v/>
      </c>
    </row>
    <row r="71" spans="1:5" ht="54.75" customHeight="1">
      <c r="A71" s="80" t="s">
        <v>318</v>
      </c>
    </row>
    <row r="72" spans="1:5" ht="49.5" customHeight="1">
      <c r="A72" s="79" t="s">
        <v>295</v>
      </c>
      <c r="B72" s="34" t="s">
        <v>306</v>
      </c>
      <c r="C72" s="34" t="s">
        <v>307</v>
      </c>
      <c r="D72" s="34" t="s">
        <v>319</v>
      </c>
      <c r="E72" s="34" t="s">
        <v>320</v>
      </c>
    </row>
    <row r="73" spans="1:5">
      <c r="A73" s="38" t="s">
        <v>297</v>
      </c>
      <c r="B73" s="39" t="str">
        <f>B5</f>
        <v/>
      </c>
      <c r="C73" s="40" t="str">
        <f>IFERROR(IF(B5="","",IF(B5&lt;=1.5,"≤1.5 (Critico)",IF(B5&lt;=2.5,"≤2.5 (Attenzione)",IF(B5&lt;=3.5,"&gt;2.5 (Solido)","&gt;3.5 (Forte)")))),"")</f>
        <v/>
      </c>
      <c r="D73" s="39" t="str">
        <f>IF(OR(ISNUMBER('Prima di iniziare'!C19),'Prima di iniziare'!C31="X",'Prima di iniziare'!C31="x"),"★","")</f>
        <v/>
      </c>
      <c r="E73" s="40" t="str">
        <f>IFERROR(IF(B5="","",IF(B5&lt;=1.5,'6_Azioni'!C5,IF(B5&lt;=2.5,'6_Azioni'!C6,IF(B5&lt;=3.5,'6_Azioni'!C7,'6_Azioni'!C8)))),"")</f>
        <v/>
      </c>
    </row>
    <row r="74" spans="1:5">
      <c r="A74" s="35" t="s">
        <v>298</v>
      </c>
      <c r="B74" s="36" t="str">
        <f>B6</f>
        <v/>
      </c>
      <c r="C74" s="37" t="str">
        <f>IFERROR(IF(B6="","",IF(B6&lt;=1.5,"≤1.5 (Critico)",IF(B6&lt;=2.5,"≤2.5 (Attenzione)",IF(B6&lt;=3.5,"&gt;2.5 (Solido)","&gt;3.5 (Forte)")))),"")</f>
        <v/>
      </c>
      <c r="D74" s="36" t="str">
        <f>IF(OR(ISNUMBER('Prima di iniziare'!C20),'Prima di iniziare'!C32="X",'Prima di iniziare'!C32="x"),"★","")</f>
        <v/>
      </c>
      <c r="E74" s="37" t="str">
        <f>IFERROR(IF(B6="","",IF(B6&lt;=1.5,'6_Azioni'!C10,IF(B6&lt;=2.5,'6_Azioni'!C11,IF(B6&lt;=3.5,'6_Azioni'!C12,'6_Azioni'!C13)))),"")</f>
        <v/>
      </c>
    </row>
    <row r="75" spans="1:5">
      <c r="A75" s="38" t="s">
        <v>299</v>
      </c>
      <c r="B75" s="39" t="str">
        <f>B7</f>
        <v/>
      </c>
      <c r="C75" s="40" t="str">
        <f>IFERROR(IF(B7="","",IF(B7&lt;=1.5,"≤1.5 (Critico)",IF(B7&lt;=2.5,"≤2.5 (Attenzione)",IF(B7&lt;=3.5,"&gt;2.5 (Solido)","&gt;3.5 (Forte)")))),"")</f>
        <v/>
      </c>
      <c r="D75" s="39" t="str">
        <f>IF(OR(ISNUMBER('Prima di iniziare'!C21),'Prima di iniziare'!C33="X",'Prima di iniziare'!C33="x",'Prima di iniziare'!C34="X",'Prima di iniziare'!C34="x"),"★","")</f>
        <v/>
      </c>
      <c r="E75" s="40" t="str">
        <f>IFERROR(IF(B7="","",IF(B7&lt;=1.5,'6_Azioni'!C15,IF(B7&lt;=2.5,'6_Azioni'!C16,IF(B7&lt;=3.5,'6_Azioni'!C17,'6_Azioni'!C18)))),"")</f>
        <v/>
      </c>
    </row>
    <row r="76" spans="1:5">
      <c r="A76" s="35" t="s">
        <v>300</v>
      </c>
      <c r="B76" s="36" t="str">
        <f>B8</f>
        <v/>
      </c>
      <c r="C76" s="37" t="str">
        <f>IFERROR(IF(B8="","",IF(B8&lt;=1.5,"≤1.5 (Critico)",IF(B8&lt;=2.5,"≤2.5 (Attenzione)",IF(B8&lt;=3.5,"&gt;2.5 (Solido)","&gt;3.5 (Forte)")))),"")</f>
        <v/>
      </c>
      <c r="D76" s="36" t="str">
        <f>IF(OR(ISNUMBER('Prima di iniziare'!C22),ISNUMBER('Prima di iniziare'!C25),'Prima di iniziare'!C35="X",'Prima di iniziare'!C35="x"),"★","")</f>
        <v/>
      </c>
      <c r="E76" s="37" t="str">
        <f>IFERROR(IF(B8="","",IF(B8&lt;=1.5,'6_Azioni'!C20,IF(B8&lt;=2.5,'6_Azioni'!C21,IF(B8&lt;=3.5,'6_Azioni'!C22,'6_Azioni'!C23)))),"")</f>
        <v/>
      </c>
    </row>
    <row r="77" spans="1:5">
      <c r="A77" s="38" t="s">
        <v>301</v>
      </c>
      <c r="B77" s="39" t="str">
        <f>B9</f>
        <v/>
      </c>
      <c r="C77" s="40" t="str">
        <f>IFERROR(IF(B9="","",IF(B9&lt;=1.5,"≤1.5 (Critico)",IF(B9&lt;=2.5,"≤2.5 (Attenzione)",IF(B9&lt;=3.5,"&gt;2.5 (Solido)","&gt;3.5 (Forte)")))),"")</f>
        <v/>
      </c>
      <c r="D77" s="39" t="str">
        <f>IF(OR(ISNUMBER('Prima di iniziare'!C23),ISNUMBER('Prima di iniziare'!C27),'Prima di iniziare'!C36="X",'Prima di iniziare'!C36="x"),"★","")</f>
        <v/>
      </c>
      <c r="E77" s="40" t="str">
        <f>IFERROR(IF(B9="","",IF(B9&lt;=1.5,'6_Azioni'!C25,IF(B9&lt;=2.5,'6_Azioni'!C26,IF(B9&lt;=3.5,'6_Azioni'!C27,'6_Azioni'!C28)))),"")</f>
        <v/>
      </c>
    </row>
    <row r="78" spans="1:5">
      <c r="A78" s="35" t="s">
        <v>302</v>
      </c>
      <c r="B78" s="36" t="str">
        <f>B10</f>
        <v/>
      </c>
      <c r="C78" s="37" t="str">
        <f>IFERROR(IF(B10="","",IF(B10&lt;=1.5,"≤1.5 (Critico)",IF(B10&lt;=2.5,"≤2.5 (Attenzione)",IF(B10&lt;=3.5,"&gt;2.5 (Solido)","&gt;3.5 (Forte)")))),"")</f>
        <v/>
      </c>
      <c r="D78" s="36" t="str">
        <f>IF(OR(ISNUMBER('Prima di iniziare'!C24),'Prima di iniziare'!C37="X",'Prima di iniziare'!C37="x",'Prima di iniziare'!C38="X",'Prima di iniziare'!C38="x"),"★","")</f>
        <v/>
      </c>
      <c r="E78" s="37" t="str">
        <f>IFERROR(IF(B10="","",IF(B10&lt;=1.5,'6_Azioni'!C30,IF(B10&lt;=2.5,'6_Azioni'!C31,IF(B10&lt;=3.5,'6_Azioni'!C32,'6_Azioni'!C33)))),"")</f>
        <v/>
      </c>
    </row>
    <row r="79" spans="1:5">
      <c r="A79" s="38" t="s">
        <v>303</v>
      </c>
      <c r="B79" s="39" t="str">
        <f>B11</f>
        <v/>
      </c>
      <c r="C79" s="40" t="str">
        <f>IFERROR(IF(B11="","",IF(B11&lt;=1.5,"≤1.5 (Critico)",IF(B11&lt;=2.5,"≤2.5 (Attenzione)",IF(B11&lt;=3.5,"&gt;2.5 (Solido)","&gt;3.5 (Forte)")))),"")</f>
        <v/>
      </c>
      <c r="D79" s="39" t="str">
        <f>IF(OR(ISNUMBER('Prima di iniziare'!C26)),"★","")</f>
        <v/>
      </c>
      <c r="E79" s="40" t="str">
        <f>IFERROR(IF(B11="","",IF(B11&lt;=1.5,'6_Azioni'!C35,IF(B11&lt;=2.5,'6_Azioni'!C36,IF(B11&lt;=3.5,'6_Azioni'!C37,'6_Azioni'!C38)))),"")</f>
        <v/>
      </c>
    </row>
    <row r="82" spans="1:3">
      <c r="A82" t="s">
        <v>321</v>
      </c>
    </row>
    <row r="83" spans="1:3">
      <c r="A83" t="s">
        <v>322</v>
      </c>
      <c r="B83" t="s">
        <v>291</v>
      </c>
      <c r="C83" t="s">
        <v>292</v>
      </c>
    </row>
    <row r="84" spans="1:3">
      <c r="A84" t="s">
        <v>323</v>
      </c>
      <c r="B84" t="s">
        <v>324</v>
      </c>
      <c r="C84" t="str">
        <f>IFERROR(IF(B14="","",IF(B14&lt;3,"Le aree su cui intervenire per prime sono quelle di rischio — ricavi, sistema, margini. Non perché le altre non contino, ma perché queste sono le fondamenta: senza di esse, qualsiasi miglioramento altrove costruisce su terreno instabile.","La tua attività ha fondamenta economiche solide. Il lavoro adesso è rafforzare l'identità, il sistema e la capacità di evolversi — gli elementi che trasformano la solidità in antifragilità.")),"")</f>
        <v/>
      </c>
    </row>
    <row r="85" spans="1:3">
      <c r="A85" t="s">
        <v>325</v>
      </c>
      <c r="C85" t="s">
        <v>326</v>
      </c>
    </row>
    <row r="88" spans="1:3">
      <c r="A88" t="s">
        <v>327</v>
      </c>
    </row>
    <row r="89" spans="1:3">
      <c r="A89" t="s">
        <v>237</v>
      </c>
      <c r="B89" t="s">
        <v>238</v>
      </c>
      <c r="C89" t="s">
        <v>239</v>
      </c>
    </row>
    <row r="90" spans="1:3">
      <c r="A90" t="s">
        <v>328</v>
      </c>
      <c r="B90" t="s">
        <v>329</v>
      </c>
    </row>
    <row r="91" spans="1:3">
      <c r="A91" t="s">
        <v>330</v>
      </c>
      <c r="B91" t="s">
        <v>329</v>
      </c>
    </row>
    <row r="92" spans="1:3">
      <c r="A92" t="s">
        <v>331</v>
      </c>
      <c r="B92" t="s">
        <v>329</v>
      </c>
    </row>
    <row r="93" spans="1:3">
      <c r="A93" t="s">
        <v>332</v>
      </c>
      <c r="B93" t="s">
        <v>329</v>
      </c>
    </row>
    <row r="94" spans="1:3">
      <c r="A94" t="s">
        <v>333</v>
      </c>
      <c r="C94" t="s">
        <v>334</v>
      </c>
    </row>
    <row r="95" spans="1:3">
      <c r="A95" t="s">
        <v>335</v>
      </c>
      <c r="C95" t="s">
        <v>336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E58"/>
  <sheetViews>
    <sheetView topLeftCell="A50" zoomScaleNormal="100" workbookViewId="0">
      <selection activeCell="A13" sqref="A13"/>
    </sheetView>
  </sheetViews>
  <sheetFormatPr defaultColWidth="8.7109375" defaultRowHeight="15"/>
  <cols>
    <col min="1" max="1" width="28" customWidth="1"/>
    <col min="2" max="2" width="13" customWidth="1"/>
    <col min="3" max="3" width="16" customWidth="1"/>
    <col min="4" max="4" width="12" customWidth="1"/>
    <col min="5" max="5" width="60" customWidth="1"/>
  </cols>
  <sheetData>
    <row r="1" spans="1:5" ht="18" customHeight="1">
      <c r="A1" s="92" t="s">
        <v>337</v>
      </c>
      <c r="B1" s="92"/>
      <c r="C1" s="92"/>
      <c r="D1" s="92"/>
      <c r="E1" s="92"/>
    </row>
    <row r="2" spans="1:5" ht="15" customHeight="1">
      <c r="A2" s="68" t="s">
        <v>338</v>
      </c>
      <c r="B2" s="68" t="s">
        <v>339</v>
      </c>
      <c r="C2" s="68" t="s">
        <v>340</v>
      </c>
      <c r="D2" s="93" t="s">
        <v>341</v>
      </c>
      <c r="E2" s="93"/>
    </row>
    <row r="3" spans="1:5" ht="13.5" customHeight="1">
      <c r="A3" s="17" t="s">
        <v>297</v>
      </c>
      <c r="B3" s="18" t="str">
        <f>'La tua realtà'!F16</f>
        <v/>
      </c>
      <c r="C3" s="19" t="str">
        <f>IFERROR(IF('La tua realtà'!F16="","",IF('La tua realtà'!F16&lt;=2.25,"Vulnerabile",IF('La tua realtà'!F16&lt;3,"In costruzione",IF('La tua realtà'!F16&lt;3.5,"Sufficiente",IF('La tua realtà'!F16&lt;4,"Solido","Forte"))))),"")</f>
        <v/>
      </c>
      <c r="D3" s="94" t="str">
        <f>IFERROR(IF('La tua realtà'!F16="","",IF('La tua realtà'!F16&lt;=2.25,'2_Le7Aree'!C5,IF('La tua realtà'!F16&lt;3,'2_Le7Aree'!C6,IF('La tua realtà'!F16&lt;3.5,'2_Le7Aree'!C7,IF('La tua realtà'!F16&lt;4,'2_Le7Aree'!C8,'2_Le7Aree'!C9))))),"")</f>
        <v/>
      </c>
      <c r="E3" s="94"/>
    </row>
    <row r="4" spans="1:5" ht="13.5" customHeight="1">
      <c r="A4" s="17" t="s">
        <v>298</v>
      </c>
      <c r="B4" s="18" t="str">
        <f>'La tua realtà'!F26</f>
        <v/>
      </c>
      <c r="C4" s="19" t="str">
        <f>IFERROR(IF('La tua realtà'!F26="","",IF('La tua realtà'!F26&lt;=2.25,"Vulnerabile",IF('La tua realtà'!F26&lt;3,"In costruzione",IF('La tua realtà'!F26&lt;3.5,"Sufficiente",IF('La tua realtà'!F26&lt;4,"Solido","Forte"))))),"")</f>
        <v/>
      </c>
      <c r="D4" s="94" t="str">
        <f>IFERROR(IF('La tua realtà'!F26="","",IF('La tua realtà'!F26&lt;=2.25,'2_Le7Aree'!C11,IF('La tua realtà'!F26&lt;3,'2_Le7Aree'!C12,IF('La tua realtà'!F26&lt;3.5,'2_Le7Aree'!C13,IF('La tua realtà'!F26&lt;4,'2_Le7Aree'!C14,'2_Le7Aree'!C15))))),"")</f>
        <v/>
      </c>
      <c r="E4" s="94"/>
    </row>
    <row r="5" spans="1:5" ht="13.5" customHeight="1">
      <c r="A5" s="17" t="s">
        <v>299</v>
      </c>
      <c r="B5" s="18" t="str">
        <f>'La tua realtà'!F35</f>
        <v/>
      </c>
      <c r="C5" s="19" t="str">
        <f>IFERROR(IF('La tua realtà'!F35="","",IF('La tua realtà'!F35&lt;=2.25,"Vulnerabile",IF('La tua realtà'!F35&lt;3,"In costruzione",IF('La tua realtà'!F35&lt;3.5,"Sufficiente",IF('La tua realtà'!F35&lt;4,"Solido","Forte"))))),"")</f>
        <v/>
      </c>
      <c r="D5" s="94" t="str">
        <f>IFERROR(IF('La tua realtà'!F35="","",IF('La tua realtà'!F35&lt;=2.25,'2_Le7Aree'!C17,IF('La tua realtà'!F35&lt;3,'2_Le7Aree'!C18,IF('La tua realtà'!F35&lt;3.5,'2_Le7Aree'!C19,IF('La tua realtà'!F35&lt;4,'2_Le7Aree'!C20,'2_Le7Aree'!C21))))),"")</f>
        <v/>
      </c>
      <c r="E5" s="94"/>
    </row>
    <row r="6" spans="1:5" ht="13.5" customHeight="1">
      <c r="A6" s="17" t="s">
        <v>300</v>
      </c>
      <c r="B6" s="18" t="str">
        <f>'La tua realtà'!F42</f>
        <v/>
      </c>
      <c r="C6" s="19" t="str">
        <f>IFERROR(IF('La tua realtà'!F42="","",IF('La tua realtà'!F42&lt;=2.25,"Vulnerabile",IF('La tua realtà'!F42&lt;3,"In costruzione",IF('La tua realtà'!F42&lt;3.5,"Sufficiente",IF('La tua realtà'!F42&lt;4,"Solido","Forte"))))),"")</f>
        <v/>
      </c>
      <c r="D6" s="94" t="str">
        <f>IFERROR(IF('La tua realtà'!F42="","",IF('La tua realtà'!F42&lt;=2.25,'2_Le7Aree'!C23,IF('La tua realtà'!F42&lt;3,'2_Le7Aree'!C24,IF('La tua realtà'!F42&lt;3.5,'2_Le7Aree'!C25,IF('La tua realtà'!F42&lt;4,'2_Le7Aree'!C26,'2_Le7Aree'!C27))))),"")</f>
        <v/>
      </c>
      <c r="E6" s="94"/>
    </row>
    <row r="7" spans="1:5" ht="13.5" customHeight="1">
      <c r="A7" s="17" t="s">
        <v>301</v>
      </c>
      <c r="B7" s="18" t="str">
        <f>'La tua realtà'!F50</f>
        <v/>
      </c>
      <c r="C7" s="19" t="str">
        <f>IFERROR(IF('La tua realtà'!F50="","",IF('La tua realtà'!F50&lt;=2.25,"Vulnerabile",IF('La tua realtà'!F50&lt;3,"In costruzione",IF('La tua realtà'!F50&lt;3.5,"Sufficiente",IF('La tua realtà'!F50&lt;4,"Solido","Forte"))))),"")</f>
        <v/>
      </c>
      <c r="D7" s="94" t="str">
        <f>IFERROR(IF('La tua realtà'!F50="","",IF('La tua realtà'!F50&lt;=2.25,'2_Le7Aree'!C29,IF('La tua realtà'!F50&lt;3,'2_Le7Aree'!C30,IF('La tua realtà'!F50&lt;3.5,'2_Le7Aree'!C31,IF('La tua realtà'!F50&lt;4,'2_Le7Aree'!C32,'2_Le7Aree'!C33))))),"")</f>
        <v/>
      </c>
      <c r="E7" s="94"/>
    </row>
    <row r="8" spans="1:5" ht="13.5" customHeight="1">
      <c r="A8" s="17" t="s">
        <v>302</v>
      </c>
      <c r="B8" s="18" t="str">
        <f>'La tua realtà'!F57</f>
        <v/>
      </c>
      <c r="C8" s="19" t="str">
        <f>IFERROR(IF('La tua realtà'!F57="","",IF('La tua realtà'!F57&lt;=2.25,"Vulnerabile",IF('La tua realtà'!F57&lt;3,"In costruzione",IF('La tua realtà'!F57&lt;3.5,"Sufficiente",IF('La tua realtà'!F57&lt;4,"Solido","Forte"))))),"")</f>
        <v/>
      </c>
      <c r="D8" s="94" t="str">
        <f>IFERROR(IF('La tua realtà'!F57="","",IF('La tua realtà'!F57&lt;=2.25,'2_Le7Aree'!C35,IF('La tua realtà'!F57&lt;3,'2_Le7Aree'!C36,IF('La tua realtà'!F57&lt;3.5,'2_Le7Aree'!C37,IF('La tua realtà'!F57&lt;4,'2_Le7Aree'!C38,'2_Le7Aree'!C39))))),"")</f>
        <v/>
      </c>
      <c r="E8" s="94"/>
    </row>
    <row r="9" spans="1:5" ht="13.5" customHeight="1">
      <c r="A9" s="17" t="s">
        <v>303</v>
      </c>
      <c r="B9" s="18" t="str">
        <f>'La tua realtà'!F64</f>
        <v/>
      </c>
      <c r="C9" s="19" t="str">
        <f>IFERROR(IF('La tua realtà'!F64="","",IF('La tua realtà'!F64&lt;=2.25,"Vulnerabile",IF('La tua realtà'!F64&lt;3,"In costruzione",IF('La tua realtà'!F64&lt;3.5,"Sufficiente",IF('La tua realtà'!F64&lt;4,"Solido","Forte"))))),"")</f>
        <v/>
      </c>
      <c r="D9" s="94" t="str">
        <f>IFERROR(IF('La tua realtà'!F64="","",IF('La tua realtà'!F64&lt;=2.25,'2_Le7Aree'!C41,IF('La tua realtà'!F64&lt;3,'2_Le7Aree'!C42,IF('La tua realtà'!F64&lt;3.5,'2_Le7Aree'!C43,IF('La tua realtà'!F64&lt;4,'2_Le7Aree'!C44,'2_Le7Aree'!C45))))),"")</f>
        <v/>
      </c>
      <c r="E9" s="94"/>
    </row>
    <row r="10" spans="1:5" ht="15.75" customHeight="1">
      <c r="A10" s="95" t="s">
        <v>342</v>
      </c>
      <c r="B10" s="95"/>
      <c r="C10" s="95"/>
      <c r="D10" s="96" t="str">
        <f>'La tua realtà'!F66</f>
        <v/>
      </c>
      <c r="E10" s="96"/>
    </row>
    <row r="11" spans="1:5" ht="13.5" customHeight="1">
      <c r="A11" s="20"/>
      <c r="B11" s="20"/>
      <c r="C11" s="20"/>
      <c r="D11" s="20"/>
      <c r="E11" s="20"/>
    </row>
    <row r="12" spans="1:5" ht="18" customHeight="1">
      <c r="A12" s="92" t="s">
        <v>343</v>
      </c>
      <c r="B12" s="92"/>
      <c r="C12" s="92"/>
      <c r="D12" s="92"/>
      <c r="E12" s="92"/>
    </row>
    <row r="13" spans="1:5" ht="15" customHeight="1">
      <c r="A13" s="68" t="s">
        <v>344</v>
      </c>
      <c r="B13" s="68" t="s">
        <v>345</v>
      </c>
      <c r="C13" s="68" t="s">
        <v>346</v>
      </c>
      <c r="D13" s="68" t="s">
        <v>347</v>
      </c>
      <c r="E13" s="68" t="s">
        <v>348</v>
      </c>
    </row>
    <row r="14" spans="1:5" ht="107.25">
      <c r="A14" s="21" t="s">
        <v>309</v>
      </c>
      <c r="B14" s="18">
        <f>IFERROR(('La tua realtà'!F13+'La tua realtà'!F14+'La tua realtà'!F15+'La tua realtà'!F54*0.5)/3.5,"")</f>
        <v>0</v>
      </c>
      <c r="C14" s="22" t="str">
        <f>IF(B14="","",IF(B14&lt;=2.5,"Attenzione",""))</f>
        <v>Attenzione</v>
      </c>
      <c r="D14" s="23" t="str">
        <f>IFERROR(IF(B14="","",IF(B14&lt;=1.5,"Fragile",IF(B14&lt;=2.5,"Vulnerabile",IF(B14&lt;=3.5,"Adeguata","Solida")))),"")</f>
        <v>Fragile</v>
      </c>
      <c r="E14" s="24" t="str">
        <f>IFERROR(IF(B14="","",IF(B14&lt;=1.5,'3_Subindici'!C5,IF(B14&lt;=2.5,'3_Subindici'!C6,IF(B14&lt;=3.5,'3_Subindici'!C7,'3_Subindici'!C8)))),"")</f>
        <v>Il tuo posizionamento è sotto la soglia critica. In questo momento chi non ti conosce non riesce a capire perché dovrebbe sceglierti — e in assenza di un motivo chiaro, tende a decidere in base al prezzo o alla posizione. Non si tratta di fare comunicazione: si tratta di capire, prima di tutto internamente, cosa ti rende diverso in modo autentico e riproducibile. Finché questa chiarezza non c'è, ogni investimento in marketing costruisce su fondamenta instabili. Il punto di partenza non è uno strumento — è una conversazione onesta con te stesso su quello che fa davvero la differenza per i tuoi clienti migliori.</v>
      </c>
    </row>
    <row r="15" spans="1:5" ht="107.25">
      <c r="A15" s="21" t="s">
        <v>349</v>
      </c>
      <c r="B15" s="18" t="str">
        <f>IFERROR(('La tua realtà'!F26+'La tua realtà'!F35)/2,"")</f>
        <v/>
      </c>
      <c r="C15" s="22" t="str">
        <f>IF(B15="","",IF(B15&lt;=2,"Urgente",""))</f>
        <v/>
      </c>
      <c r="D15" s="23" t="str">
        <f>IFERROR(IF(B15="","",IF(B15&lt;=1.5,"Fragile",IF(B15&lt;=2.5,"Vulnerabile",IF(B15&lt;=3.5,"Adeguata","Solida")))),"")</f>
        <v/>
      </c>
      <c r="E15" s="24" t="str">
        <f>IFERROR(IF(B15="","",IF(B15&lt;=1.5,'3_Subindici'!C10,IF(B15&lt;=2.5,'3_Subindici'!C11,IF(B15&lt;=3.5,'3_Subindici'!C12,'3_Subindici'!C13)))),"")</f>
        <v/>
      </c>
    </row>
    <row r="16" spans="1:5" ht="72">
      <c r="A16" s="21" t="s">
        <v>311</v>
      </c>
      <c r="B16" s="18">
        <f>IFERROR('La tua realtà'!F21,"")</f>
        <v>0</v>
      </c>
      <c r="C16" s="22" t="str">
        <f>IF(B16="","",IF(B16&lt;=2,"Urgente",""))</f>
        <v>Urgente</v>
      </c>
      <c r="D16" s="23" t="str">
        <f>IFERROR(IF(B16="","",IF(B16&lt;=1.5,"Fragile",IF(B16&lt;=2.5,"Vulnerabile",IF(B16&lt;=3.5,"Adeguata","Solida")))),"")</f>
        <v>Fragile</v>
      </c>
      <c r="E16" s="24" t="str">
        <f>IFERROR(IF(B16="","",IF(B16&lt;=1.5,'3_Subindici'!C15,IF(B16&lt;=2.5,'3_Subindici'!C16,IF(B16&lt;=3.5,'3_Subindici'!C17,'3_Subindici'!C18)))),"")</f>
        <v>Meno di un mese di copertura delle spese fisse. Questo non è un problema di gestione finanziaria — è un'emergenza strutturale. Qualsiasi shock esterno — una settimana lenta, una spesa imprevista, un pagamento in ritardo — può mettere in difficoltà la continuità dell'attività. L'unica priorità adesso è stabilizzare la cassa: ridurre le spese fisse non essenziali, accelerare gli incassi, identificare le voci che si possono posticipare. Ogni altra decisione aspetta che questo indicatore sia fuori dalla zona critica.</v>
      </c>
    </row>
    <row r="17" spans="1:5" ht="84">
      <c r="A17" s="21" t="s">
        <v>312</v>
      </c>
      <c r="B17" s="18">
        <f>IFERROR(('La tua realtà'!F45+'La tua realtà'!F48*0.5+'La tua realtà'!F49+'La tua realtà'!F53+'La tua realtà'!F54+'La tua realtà'!F55*0.5+'La tua realtà'!F56)/6,"")</f>
        <v>0</v>
      </c>
      <c r="C17" s="22" t="str">
        <f>IF(B17="","",IF(B17&lt;=2.5,"Attenzione",""))</f>
        <v>Attenzione</v>
      </c>
      <c r="D17" s="23" t="str">
        <f>IFERROR(IF(B17="","",IF(B17&lt;=1.5,"Fragile",IF(B17&lt;=2.5,"Vulnerabile",IF(B17&lt;=3.5,"Adeguata","Solida")))),"")</f>
        <v>Fragile</v>
      </c>
      <c r="E17" s="24" t="str">
        <f>IFERROR(IF(B17="","",IF(B17&lt;=1.5,'3_Subindici'!C20,IF(B17&lt;=2.5,'3_Subindici'!C21,IF(B17&lt;=3.5,'3_Subindici'!C22,'3_Subindici'!C23)))),"")</f>
        <v>L'attività dipende interamente da te e opera in isolamento sostanziale. Se ti fermi — anche solo per una settimana — si ferma tutto. E senza una rete nel territorio che possa supportarti, ogni problema si affronta da soli. Queste due fragilità si rinforzano: un sistema fragile senza rete è un'attività che non può permettersi nessuno shock. La priorità è duplice: scrivi il processo più critico della tua attività su un foglio — tre passaggi, in ordine — e contatta tre operatori del territorio questa settimana.</v>
      </c>
    </row>
    <row r="18" spans="1:5" ht="84">
      <c r="A18" s="21" t="s">
        <v>313</v>
      </c>
      <c r="B18" s="18">
        <f>IFERROR(('La tua realtà'!F46+'La tua realtà'!F47+'La tua realtà'!F60*0.5+'La tua realtà'!F23*0.5+'La tua realtà'!F25*0.5)/3.5,"")</f>
        <v>0</v>
      </c>
      <c r="C18" s="22" t="str">
        <f>IF(B18="","",IF(B18&lt;=2.5,"Attenzione",""))</f>
        <v>Attenzione</v>
      </c>
      <c r="D18" s="23" t="str">
        <f>IFERROR(IF(B18="","",IF(B18&lt;=1.5,"Fragile",IF(B18&lt;=2.5,"Vulnerabile",IF(B18&lt;=3.5,"Adeguata","Solida")))),"")</f>
        <v>Fragile</v>
      </c>
      <c r="E18" s="24" t="str">
        <f>IFERROR(IF(B18="","",IF(B18&lt;=1.5,'3_Subindici'!C25,IF(B18&lt;=2.5,'3_Subindici'!C26,IF(B18&lt;=3.5,'3_Subindici'!C27,'3_Subindici'!C28)))),"")</f>
        <v>L'esposizione digitale è sotto la soglia critica. Strumenti inadeguati, dati dei clienti non protetti, assenza di canali diretti e mancato uso delle informazioni disponibili creano una fragilità che si vede poco finché non diventa un problema concreto: una violazione dei dati, una prenotazione persa a causa di un intermediario, una decisione presa senza le informazioni necessarie. Non serve diventare esperti di tecnologia: servono strumenti di base, usati con metodo. L'impatto di un intervento in quest'area è spesso alto e il costo di ingresso è generalmente basso.</v>
      </c>
    </row>
    <row r="19" spans="1:5" ht="84">
      <c r="A19" s="21" t="s">
        <v>314</v>
      </c>
      <c r="B19" s="18">
        <f>IFERROR(('La tua realtà'!F30+'La tua realtà'!F33+'La tua realtà'!F34+'La tua realtà'!F47)/4,"")</f>
        <v>0</v>
      </c>
      <c r="C19" s="22" t="str">
        <f>IF(B19="","",IF(B19&lt;=2,"Urgente",IF(B19&lt;=3,"Attenzione","")))</f>
        <v>Urgente</v>
      </c>
      <c r="D19" s="23" t="str">
        <f>IFERROR(IF(B19="","",IF(B19&lt;=1.5,"Fragile",IF(B19&lt;=2.5,"Vulnerabile",IF(B19&lt;=3.5,"Adeguata","Solida")))),"")</f>
        <v>Fragile</v>
      </c>
      <c r="E19" s="24" t="str">
        <f>IFERROR(IF(B19="","",IF(B19&lt;=1.5,'3_Subindici'!C30,IF(B19&lt;=2.5,'3_Subindici'!C31,IF(B19&lt;=3.5,'3_Subindici'!C32,'3_Subindici'!C33)))),"")</f>
        <v>Ci sono gap di compliance significativi su più fronti. Non sapere è rischioso quanto sapere e ignorare: un controllo normativo, un sinistro non coperto o un arretrato fiscale possono generare costi sproporzionati rispetto alle dimensioni dell'attività. La priorità è fare una lista delle criticità note — normative, assicurative, fiscali — e affrontarle in ordine di urgenza. Non tutto va risolto subito, ma tutto deve avere un calendario. Il costo della compliance è fisso e prevedibile; il costo dell'esposizione è imprevedibile e spesso moltiplicatore.</v>
      </c>
    </row>
    <row r="20" spans="1:5" ht="91.5" customHeight="1">
      <c r="A20" s="21" t="s">
        <v>315</v>
      </c>
      <c r="B20" s="18" t="str">
        <f>IFERROR(('La tua realtà'!F42+'La tua realtà'!F64)/2,"")</f>
        <v/>
      </c>
      <c r="C20" s="22" t="str">
        <f>IF(B20="","",IF(B20&lt;=2.5,"Attenzione",""))</f>
        <v/>
      </c>
      <c r="D20" s="23" t="str">
        <f>IFERROR(IF(B20="","",IF(B20&lt;=1.5,"Fragile",IF(B20&lt;=2.5,"Vulnerabile",IF(B20&lt;=3.5,"Adeguata","Solida")))),"")</f>
        <v/>
      </c>
      <c r="E20" s="24" t="str">
        <f>IFERROR(IF(B20="","",IF(B20&lt;=1.5,'3_Subindici'!C35,IF(B20&lt;=2.5,'3_Subindici'!C36,IF(B20&lt;=3.5,'3_Subindici'!C37,'3_Subindici'!C38)))),"")</f>
        <v/>
      </c>
    </row>
    <row r="21" spans="1:5" ht="13.5" customHeight="1">
      <c r="A21" s="20"/>
      <c r="B21" s="20"/>
      <c r="C21" s="20"/>
      <c r="D21" s="20"/>
      <c r="E21" s="20"/>
    </row>
    <row r="22" spans="1:5" ht="18" customHeight="1">
      <c r="A22" s="92" t="s">
        <v>350</v>
      </c>
      <c r="B22" s="92"/>
      <c r="C22" s="92"/>
      <c r="D22" s="92"/>
      <c r="E22" s="92"/>
    </row>
    <row r="23" spans="1:5" ht="15" customHeight="1">
      <c r="A23" s="68" t="s">
        <v>338</v>
      </c>
      <c r="B23" s="68" t="s">
        <v>351</v>
      </c>
      <c r="C23" s="68" t="s">
        <v>352</v>
      </c>
      <c r="D23" s="68" t="s">
        <v>353</v>
      </c>
      <c r="E23" s="68" t="s">
        <v>354</v>
      </c>
    </row>
    <row r="24" spans="1:5" ht="13.5" customHeight="1">
      <c r="A24" s="21" t="s">
        <v>297</v>
      </c>
      <c r="B24" s="25" t="str">
        <f>IFERROR(IF('Prima di iniziare'!C8="","(—)",'Prima di iniziare'!C8),"")</f>
        <v>(—)</v>
      </c>
      <c r="C24" s="25" t="str">
        <f>'La tua realtà'!F16</f>
        <v/>
      </c>
      <c r="D24" s="26" t="str">
        <f>IFERROR(IF(OR('Prima di iniziare'!C8="",'La tua realtà'!F16=""),"",'La tua realtà'!F16-'Prima di iniziare'!C8),"")</f>
        <v/>
      </c>
      <c r="E24" s="24" t="str">
        <f>IFERROR(IF(OR('Prima di iniziare'!C8="",'La tua realtà'!F16=""),"",IF(ABS('La tua realtà'!F16-'Prima di iniziare'!C8)&lt;1.5,"",IF('La tua realtà'!F16-'Prima di iniziare'!C8&lt;0,'4_PercAnalisi'!C5,'4_PercAnalisi'!C6))),"")</f>
        <v/>
      </c>
    </row>
    <row r="25" spans="1:5" ht="13.5" customHeight="1">
      <c r="A25" s="21" t="s">
        <v>298</v>
      </c>
      <c r="B25" s="25" t="str">
        <f>IFERROR(IF('Prima di iniziare'!C9="","(—)",'Prima di iniziare'!C9),"")</f>
        <v>(—)</v>
      </c>
      <c r="C25" s="25" t="str">
        <f>'La tua realtà'!F26</f>
        <v/>
      </c>
      <c r="D25" s="26" t="str">
        <f>IFERROR(IF(OR('Prima di iniziare'!C9="",'La tua realtà'!F26=""),"",'La tua realtà'!F26-'Prima di iniziare'!C9),"")</f>
        <v/>
      </c>
      <c r="E25" s="24" t="str">
        <f>IFERROR(IF(OR('Prima di iniziare'!C9="",'La tua realtà'!F26=""),"",IF(ABS('La tua realtà'!F26-'Prima di iniziare'!C9)&lt;1.5,"",IF('La tua realtà'!F26-'Prima di iniziare'!C9&lt;0,'4_PercAnalisi'!C8,'4_PercAnalisi'!C9))),"")</f>
        <v/>
      </c>
    </row>
    <row r="26" spans="1:5" ht="13.5" customHeight="1">
      <c r="A26" s="21" t="s">
        <v>299</v>
      </c>
      <c r="B26" s="25" t="str">
        <f>IFERROR(IF('Prima di iniziare'!C10="","(—)",'Prima di iniziare'!C10),"")</f>
        <v>(—)</v>
      </c>
      <c r="C26" s="25" t="str">
        <f>'La tua realtà'!F35</f>
        <v/>
      </c>
      <c r="D26" s="26" t="str">
        <f>IFERROR(IF(OR('Prima di iniziare'!C10="",'La tua realtà'!F35=""),"",'La tua realtà'!F35-'Prima di iniziare'!C10),"")</f>
        <v/>
      </c>
      <c r="E26" s="24" t="str">
        <f>IFERROR(IF(OR('Prima di iniziare'!C10="",'La tua realtà'!F35=""),"",IF(ABS('La tua realtà'!F35-'Prima di iniziare'!C10)&lt;1.5,"",IF('La tua realtà'!F35-'Prima di iniziare'!C10&lt;0,'4_PercAnalisi'!C11,'4_PercAnalisi'!C12))),"")</f>
        <v/>
      </c>
    </row>
    <row r="27" spans="1:5" ht="13.5" customHeight="1">
      <c r="A27" s="21" t="s">
        <v>300</v>
      </c>
      <c r="B27" s="25" t="str">
        <f>IFERROR(IF('Prima di iniziare'!C11="","(—)",'Prima di iniziare'!C11),"")</f>
        <v>(—)</v>
      </c>
      <c r="C27" s="25" t="str">
        <f>'La tua realtà'!F42</f>
        <v/>
      </c>
      <c r="D27" s="26" t="str">
        <f>IFERROR(IF(OR('Prima di iniziare'!C11="",'La tua realtà'!F42=""),"",'La tua realtà'!F42-'Prima di iniziare'!C11),"")</f>
        <v/>
      </c>
      <c r="E27" s="24" t="str">
        <f>IFERROR(IF(OR('Prima di iniziare'!C11="",'La tua realtà'!F42=""),"",IF(ABS('La tua realtà'!F42-'Prima di iniziare'!C11)&lt;1.5,"",IF('La tua realtà'!F42-'Prima di iniziare'!C11&lt;0,'4_PercAnalisi'!C14,'4_PercAnalisi'!C15))),"")</f>
        <v/>
      </c>
    </row>
    <row r="28" spans="1:5" ht="13.5" customHeight="1">
      <c r="A28" s="21" t="s">
        <v>301</v>
      </c>
      <c r="B28" s="25" t="str">
        <f>IFERROR(IF('Prima di iniziare'!C12="","(—)",'Prima di iniziare'!C12),"")</f>
        <v>(—)</v>
      </c>
      <c r="C28" s="25" t="str">
        <f>'La tua realtà'!F50</f>
        <v/>
      </c>
      <c r="D28" s="26" t="str">
        <f>IFERROR(IF(OR('Prima di iniziare'!C12="",'La tua realtà'!F50=""),"",'La tua realtà'!F50-'Prima di iniziare'!C12),"")</f>
        <v/>
      </c>
      <c r="E28" s="24" t="str">
        <f>IFERROR(IF(OR('Prima di iniziare'!C12="",'La tua realtà'!F50=""),"",IF(ABS('La tua realtà'!F50-'Prima di iniziare'!C12)&lt;1.5,"",IF('La tua realtà'!F50-'Prima di iniziare'!C12&lt;0,'4_PercAnalisi'!C17,'4_PercAnalisi'!C18))),"")</f>
        <v/>
      </c>
    </row>
    <row r="29" spans="1:5">
      <c r="A29" s="21" t="s">
        <v>302</v>
      </c>
      <c r="B29" s="25" t="str">
        <f>IFERROR(IF('Prima di iniziare'!C13="","(—)",'Prima di iniziare'!C13),"")</f>
        <v>(—)</v>
      </c>
      <c r="C29" s="25" t="str">
        <f>'La tua realtà'!F57</f>
        <v/>
      </c>
      <c r="D29" s="26" t="str">
        <f>IFERROR(IF(OR('Prima di iniziare'!C13="",'La tua realtà'!F57=""),"",'La tua realtà'!F57-'Prima di iniziare'!C13),"")</f>
        <v/>
      </c>
      <c r="E29" s="24" t="str">
        <f>IFERROR(IF(OR('Prima di iniziare'!C13="",'La tua realtà'!F57=""),"",IF(ABS('La tua realtà'!F57-'Prima di iniziare'!C13)&lt;1.5,"",IF('La tua realtà'!F57-'Prima di iniziare'!C13&lt;0,'4_PercAnalisi'!C20,'4_PercAnalisi'!C21))),"")</f>
        <v/>
      </c>
    </row>
    <row r="30" spans="1:5" ht="13.5" customHeight="1">
      <c r="A30" s="21" t="s">
        <v>303</v>
      </c>
      <c r="B30" s="25" t="str">
        <f>IFERROR(IF('Prima di iniziare'!C14="","(—)",'Prima di iniziare'!C14),"")</f>
        <v>(—)</v>
      </c>
      <c r="C30" s="25" t="str">
        <f>'La tua realtà'!F64</f>
        <v/>
      </c>
      <c r="D30" s="26" t="str">
        <f>IFERROR(IF(OR('Prima di iniziare'!C14="",'La tua realtà'!F64=""),"",'La tua realtà'!F64-'Prima di iniziare'!C14),"")</f>
        <v/>
      </c>
      <c r="E30" s="24" t="str">
        <f>IFERROR(IF(OR('Prima di iniziare'!C14="",'La tua realtà'!F64=""),"",IF(ABS('La tua realtà'!F64-'Prima di iniziare'!C14)&lt;1.5,"",IF('La tua realtà'!F64-'Prima di iniziare'!C14&lt;0,'4_PercAnalisi'!C23,'4_PercAnalisi'!C24))),"")</f>
        <v/>
      </c>
    </row>
    <row r="31" spans="1:5" ht="13.5" customHeight="1">
      <c r="A31" s="20"/>
      <c r="B31" s="20"/>
      <c r="C31" s="20"/>
      <c r="D31" s="20"/>
      <c r="E31" s="20"/>
    </row>
    <row r="32" spans="1:5" ht="18" customHeight="1">
      <c r="A32" s="97" t="s">
        <v>355</v>
      </c>
      <c r="B32" s="97"/>
      <c r="C32" s="97"/>
      <c r="D32" s="97"/>
      <c r="E32" s="97"/>
    </row>
    <row r="33" spans="1:5" ht="15" customHeight="1">
      <c r="A33" s="67" t="s">
        <v>338</v>
      </c>
      <c r="B33" s="98" t="s">
        <v>356</v>
      </c>
      <c r="C33" s="98"/>
      <c r="D33" s="98"/>
      <c r="E33" s="98"/>
    </row>
    <row r="34" spans="1:5" ht="52.5" customHeight="1">
      <c r="A34" s="27" t="s">
        <v>297</v>
      </c>
      <c r="B34" s="99" t="str">
        <f>IFERROR(IF('La tua realtà'!F16="","",IF('La tua realtà'!F16&lt;=2.25,'5_RischioInerzia'!C4,IF('La tua realtà'!F16&lt;3,'5_RischioInerzia'!C5,IF('La tua realtà'!F16&lt;3.5,'5_RischioInerzia'!C6,IF('La tua realtà'!F16&lt;4,'5_RischioInerzia'!C7,'5_RischioInerzia'!C8))))),"")</f>
        <v/>
      </c>
      <c r="C34" s="99"/>
      <c r="D34" s="99"/>
      <c r="E34" s="99"/>
    </row>
    <row r="35" spans="1:5" ht="53.25" customHeight="1">
      <c r="A35" s="27" t="s">
        <v>298</v>
      </c>
      <c r="B35" s="99" t="str">
        <f>IFERROR(IF('La tua realtà'!F26="","",IF('La tua realtà'!F26&lt;=2.25,'5_RischioInerzia'!C9,IF('La tua realtà'!F26&lt;3,'5_RischioInerzia'!C10,IF('La tua realtà'!F26&lt;3.5,'5_RischioInerzia'!C11,IF('La tua realtà'!F26&lt;4,'5_RischioInerzia'!C12,'5_RischioInerzia'!C13))))),"")</f>
        <v/>
      </c>
      <c r="C35" s="99"/>
      <c r="D35" s="99"/>
      <c r="E35" s="99"/>
    </row>
    <row r="36" spans="1:5" ht="52.5" customHeight="1">
      <c r="A36" s="27" t="s">
        <v>299</v>
      </c>
      <c r="B36" s="99" t="str">
        <f>IFERROR(IF('La tua realtà'!F35="","",IF('La tua realtà'!F35&lt;=2.25,'5_RischioInerzia'!C14,IF('La tua realtà'!F35&lt;3,'5_RischioInerzia'!C15,IF('La tua realtà'!F35&lt;3.5,'5_RischioInerzia'!C16,IF('La tua realtà'!F35&lt;4,'5_RischioInerzia'!C17,'5_RischioInerzia'!C18))))),"")</f>
        <v/>
      </c>
      <c r="C36" s="99"/>
      <c r="D36" s="99"/>
      <c r="E36" s="99"/>
    </row>
    <row r="37" spans="1:5" ht="39.75" customHeight="1">
      <c r="A37" s="27" t="s">
        <v>300</v>
      </c>
      <c r="B37" s="99" t="str">
        <f>IFERROR(IF('La tua realtà'!F42="","",IF('La tua realtà'!F42&lt;=2.25,'5_RischioInerzia'!C19,IF('La tua realtà'!F42&lt;3,'5_RischioInerzia'!C20,IF('La tua realtà'!F42&lt;3.5,'5_RischioInerzia'!C21,IF('La tua realtà'!F42&lt;4,'5_RischioInerzia'!C22,'5_RischioInerzia'!C23))))),"")</f>
        <v/>
      </c>
      <c r="C37" s="99"/>
      <c r="D37" s="99"/>
      <c r="E37" s="99"/>
    </row>
    <row r="38" spans="1:5" ht="36" customHeight="1">
      <c r="A38" s="27" t="s">
        <v>301</v>
      </c>
      <c r="B38" s="99" t="str">
        <f>IFERROR(IF('La tua realtà'!F50="","",IF('La tua realtà'!F50&lt;=2.25,'5_RischioInerzia'!C24,IF('La tua realtà'!F50&lt;3,'5_RischioInerzia'!C25,IF('La tua realtà'!F50&lt;3.5,'5_RischioInerzia'!C26,IF('La tua realtà'!F50&lt;4,'5_RischioInerzia'!C27,'5_RischioInerzia'!C28))))),"")</f>
        <v/>
      </c>
      <c r="C38" s="99"/>
      <c r="D38" s="99"/>
      <c r="E38" s="99"/>
    </row>
    <row r="39" spans="1:5" ht="36.75" customHeight="1">
      <c r="A39" s="27" t="s">
        <v>302</v>
      </c>
      <c r="B39" s="99" t="str">
        <f>IFERROR(IF('La tua realtà'!F57="","",IF('La tua realtà'!F57&lt;=2.25,'5_RischioInerzia'!C29,IF('La tua realtà'!F57&lt;3,'5_RischioInerzia'!C30,IF('La tua realtà'!F57&lt;3.5,'5_RischioInerzia'!C31,IF('La tua realtà'!F57&lt;4,'5_RischioInerzia'!C32,'5_RischioInerzia'!C33))))),"")</f>
        <v/>
      </c>
      <c r="C39" s="99"/>
      <c r="D39" s="99"/>
      <c r="E39" s="99"/>
    </row>
    <row r="40" spans="1:5" ht="49.5" customHeight="1">
      <c r="A40" s="27" t="s">
        <v>303</v>
      </c>
      <c r="B40" s="99" t="str">
        <f>IFERROR(IF('La tua realtà'!F64="","",IF('La tua realtà'!F64&lt;=2.25,'5_RischioInerzia'!C34,IF('La tua realtà'!F64&lt;3,'5_RischioInerzia'!C35,IF('La tua realtà'!F64&lt;3.5,'5_RischioInerzia'!C36,IF('La tua realtà'!F64&lt;4,'5_RischioInerzia'!C37,'5_RischioInerzia'!C38))))),"")</f>
        <v/>
      </c>
      <c r="C40" s="99"/>
      <c r="D40" s="99"/>
      <c r="E40" s="99"/>
    </row>
    <row r="41" spans="1:5" ht="13.5" customHeight="1">
      <c r="A41" s="20"/>
      <c r="B41" s="20"/>
      <c r="C41" s="20"/>
      <c r="D41" s="20"/>
      <c r="E41" s="20"/>
    </row>
    <row r="42" spans="1:5" ht="18" customHeight="1">
      <c r="A42" s="100" t="s">
        <v>357</v>
      </c>
      <c r="B42" s="100"/>
      <c r="C42" s="100"/>
      <c r="D42" s="100"/>
      <c r="E42" s="100"/>
    </row>
    <row r="43" spans="1:5" ht="15" customHeight="1">
      <c r="A43" s="66" t="s">
        <v>338</v>
      </c>
      <c r="B43" s="66" t="s">
        <v>358</v>
      </c>
      <c r="C43" s="66" t="s">
        <v>346</v>
      </c>
      <c r="D43" s="101"/>
      <c r="E43" s="101"/>
    </row>
    <row r="44" spans="1:5" ht="153" customHeight="1">
      <c r="A44" s="28" t="s">
        <v>297</v>
      </c>
      <c r="B44" s="29" t="str">
        <f>'La tua realtà'!F16</f>
        <v/>
      </c>
      <c r="C44" s="30" t="str">
        <f>IFERROR(IF('La tua realtà'!F16="","",IF('La tua realtà'!F16&lt;=2.25,"Urgente",IF('La tua realtà'!F16&lt;3,"Alta",IF('La tua realtà'!F16&lt;3.5,"Media",IF('La tua realtà'!F16&lt;4,"Bassa","Mantenimento"))))),"")</f>
        <v/>
      </c>
      <c r="D44" s="102" t="str">
        <f>IFERROR(IF('La tua realtà'!F16="","",IF('La tua realtà'!F16&lt;=2.25,'6_Azioni'!C4,IF('La tua realtà'!F16&lt;3,'6_Azioni'!C5,IF('La tua realtà'!F16&lt;3.5,'6_Azioni'!C6,IF('La tua realtà'!F16&lt;4,'6_Azioni'!C7,'6_Azioni'!C8))))),"")</f>
        <v/>
      </c>
      <c r="E44" s="102"/>
    </row>
    <row r="45" spans="1:5" ht="142.5" customHeight="1">
      <c r="A45" s="28" t="s">
        <v>298</v>
      </c>
      <c r="B45" s="29" t="str">
        <f>'La tua realtà'!F26</f>
        <v/>
      </c>
      <c r="C45" s="30" t="str">
        <f>IFERROR(IF('La tua realtà'!F26="","",IF('La tua realtà'!F26&lt;=2.25,"Urgente",IF('La tua realtà'!F26&lt;3,"Alta",IF('La tua realtà'!F26&lt;3.5,"Media",IF('La tua realtà'!F26&lt;4,"Bassa","Mantenimento"))))),"")</f>
        <v/>
      </c>
      <c r="D45" s="102" t="str">
        <f>IFERROR(IF('La tua realtà'!F26="","",IF('La tua realtà'!F26&lt;=2.25,'6_Azioni'!C9,IF('La tua realtà'!F26&lt;3,'6_Azioni'!C10,IF('La tua realtà'!F26&lt;3.5,'6_Azioni'!C11,IF('La tua realtà'!F26&lt;4,'6_Azioni'!C12,'6_Azioni'!C13))))),"")</f>
        <v/>
      </c>
      <c r="E45" s="102"/>
    </row>
    <row r="46" spans="1:5" ht="205.5" customHeight="1">
      <c r="A46" s="28" t="s">
        <v>299</v>
      </c>
      <c r="B46" s="29" t="str">
        <f>'La tua realtà'!F35</f>
        <v/>
      </c>
      <c r="C46" s="30" t="str">
        <f>IFERROR(IF('La tua realtà'!F35="","",IF('La tua realtà'!F35&lt;=2.25,"Urgente",IF('La tua realtà'!F35&lt;3,"Alta",IF('La tua realtà'!F35&lt;3.5,"Media",IF('La tua realtà'!F35&lt;4,"Bassa","Mantenimento"))))),"")</f>
        <v/>
      </c>
      <c r="D46" s="102" t="str">
        <f>IFERROR(IF('La tua realtà'!F35="","",IF('La tua realtà'!F35&lt;=2.25,'6_Azioni'!C14,IF('La tua realtà'!F35&lt;3,'6_Azioni'!C15,IF('La tua realtà'!F35&lt;3.5,'6_Azioni'!C16,IF('La tua realtà'!F35&lt;4,'6_Azioni'!C17,'6_Azioni'!C18))))),"")</f>
        <v/>
      </c>
      <c r="E46" s="102"/>
    </row>
    <row r="47" spans="1:5" ht="182.25" customHeight="1">
      <c r="A47" s="28" t="s">
        <v>300</v>
      </c>
      <c r="B47" s="29" t="str">
        <f>'La tua realtà'!F42</f>
        <v/>
      </c>
      <c r="C47" s="30" t="str">
        <f>IFERROR(IF('La tua realtà'!F42="","",IF('La tua realtà'!F42&lt;=2.25,"Urgente",IF('La tua realtà'!F42&lt;3,"Alta",IF('La tua realtà'!F42&lt;3.5,"Media",IF('La tua realtà'!F42&lt;4,"Bassa","Mantenimento"))))),"")</f>
        <v/>
      </c>
      <c r="D47" s="102" t="str">
        <f>IFERROR(IF('La tua realtà'!F42="","",IF('La tua realtà'!F42&lt;=2.25,'6_Azioni'!C19,IF('La tua realtà'!F42&lt;3,'6_Azioni'!C20,IF('La tua realtà'!F42&lt;3.5,'6_Azioni'!C21,IF('La tua realtà'!F42&lt;4,'6_Azioni'!C22,'6_Azioni'!C23))))),"")</f>
        <v/>
      </c>
      <c r="E47" s="102"/>
    </row>
    <row r="48" spans="1:5" ht="222.75" customHeight="1">
      <c r="A48" s="28" t="s">
        <v>301</v>
      </c>
      <c r="B48" s="29" t="str">
        <f>'La tua realtà'!F50</f>
        <v/>
      </c>
      <c r="C48" s="30" t="str">
        <f>IFERROR(IF('La tua realtà'!F50="","",IF('La tua realtà'!F50&lt;=2.25,"Urgente",IF('La tua realtà'!F50&lt;3,"Alta",IF('La tua realtà'!F50&lt;3.5,"Media",IF('La tua realtà'!F50&lt;4,"Bassa","Mantenimento"))))),"")</f>
        <v/>
      </c>
      <c r="D48" s="102" t="str">
        <f>IFERROR(IF('La tua realtà'!F50="","",IF('La tua realtà'!F50&lt;=2.25,'6_Azioni'!C24,IF('La tua realtà'!F50&lt;3,'6_Azioni'!C25,IF('La tua realtà'!F50&lt;3.5,'6_Azioni'!C26,IF('La tua realtà'!F50&lt;4,'6_Azioni'!C27,'6_Azioni'!C28))))),"")</f>
        <v/>
      </c>
      <c r="E48" s="102"/>
    </row>
    <row r="49" spans="1:5" ht="210.75" customHeight="1">
      <c r="A49" s="28" t="s">
        <v>302</v>
      </c>
      <c r="B49" s="29" t="str">
        <f>'La tua realtà'!F57</f>
        <v/>
      </c>
      <c r="C49" s="30" t="str">
        <f>IFERROR(IF('La tua realtà'!F57="","",IF('La tua realtà'!F57&lt;=2.25,"Urgente",IF('La tua realtà'!F57&lt;3,"Alta",IF('La tua realtà'!F57&lt;3.5,"Media",IF('La tua realtà'!F57&lt;4,"Bassa","Mantenimento"))))),"")</f>
        <v/>
      </c>
      <c r="D49" s="102" t="str">
        <f>IFERROR(IF('La tua realtà'!F57="","",IF('La tua realtà'!F57&lt;=2.25,'6_Azioni'!C29,IF('La tua realtà'!F57&lt;3,'6_Azioni'!C30,IF('La tua realtà'!F57&lt;3.5,'6_Azioni'!C31,IF('La tua realtà'!F57&lt;4,'6_Azioni'!C32,'6_Azioni'!C33))))),"")</f>
        <v/>
      </c>
      <c r="E49" s="102"/>
    </row>
    <row r="50" spans="1:5" ht="213.75" customHeight="1">
      <c r="A50" s="28" t="s">
        <v>303</v>
      </c>
      <c r="B50" s="29" t="str">
        <f>'La tua realtà'!F64</f>
        <v/>
      </c>
      <c r="C50" s="30" t="str">
        <f>IFERROR(IF('La tua realtà'!F64="","",IF('La tua realtà'!F64&lt;=2.25,"Urgente",IF('La tua realtà'!F64&lt;3,"Alta",IF('La tua realtà'!F64&lt;3.5,"Media",IF('La tua realtà'!F64&lt;4,"Bassa","Mantenimento"))))),"")</f>
        <v/>
      </c>
      <c r="D50" s="102" t="str">
        <f>IFERROR(IF('La tua realtà'!F64="","",IF('La tua realtà'!F64&lt;=2.25,'6_Azioni'!C34,IF('La tua realtà'!F64&lt;3,'6_Azioni'!C35,IF('La tua realtà'!F64&lt;3.5,'6_Azioni'!C36,IF('La tua realtà'!F64&lt;4,'6_Azioni'!C37,'6_Azioni'!C38))))),"")</f>
        <v/>
      </c>
      <c r="E50" s="102"/>
    </row>
    <row r="51" spans="1:5">
      <c r="A51" s="20"/>
      <c r="B51" s="20"/>
      <c r="C51" s="20"/>
      <c r="D51" s="20"/>
      <c r="E51" s="20"/>
    </row>
    <row r="52" spans="1:5" ht="102" customHeight="1">
      <c r="A52" s="20"/>
      <c r="B52" s="20"/>
      <c r="C52" s="20"/>
      <c r="D52" s="20"/>
      <c r="E52" s="20"/>
    </row>
    <row r="53" spans="1:5">
      <c r="A53" s="20"/>
      <c r="B53" s="20"/>
      <c r="C53" s="20"/>
      <c r="D53" s="20"/>
      <c r="E53" s="20"/>
    </row>
    <row r="54" spans="1:5">
      <c r="A54" s="20"/>
      <c r="B54" s="20"/>
      <c r="C54" s="20"/>
      <c r="D54" s="20"/>
      <c r="E54" s="20"/>
    </row>
    <row r="55" spans="1:5">
      <c r="A55" s="20"/>
      <c r="B55" s="20"/>
      <c r="C55" s="20"/>
      <c r="D55" s="20"/>
      <c r="E55" s="20"/>
    </row>
    <row r="56" spans="1:5">
      <c r="A56" s="20"/>
      <c r="B56" s="20"/>
      <c r="C56" s="20"/>
      <c r="D56" s="20"/>
      <c r="E56" s="20"/>
    </row>
    <row r="57" spans="1:5">
      <c r="A57" s="20"/>
      <c r="B57" s="20"/>
      <c r="C57" s="20"/>
      <c r="D57" s="20"/>
      <c r="E57" s="20"/>
    </row>
    <row r="58" spans="1:5">
      <c r="A58" s="20"/>
      <c r="B58" s="20"/>
      <c r="C58" s="20"/>
      <c r="D58" s="20"/>
      <c r="E58" s="20"/>
    </row>
  </sheetData>
  <mergeCells count="31">
    <mergeCell ref="D46:E46"/>
    <mergeCell ref="D47:E47"/>
    <mergeCell ref="D48:E48"/>
    <mergeCell ref="D49:E49"/>
    <mergeCell ref="D50:E50"/>
    <mergeCell ref="B40:E40"/>
    <mergeCell ref="A42:E42"/>
    <mergeCell ref="D43:E43"/>
    <mergeCell ref="D44:E44"/>
    <mergeCell ref="D45:E45"/>
    <mergeCell ref="B35:E35"/>
    <mergeCell ref="B36:E36"/>
    <mergeCell ref="B37:E37"/>
    <mergeCell ref="B38:E38"/>
    <mergeCell ref="B39:E39"/>
    <mergeCell ref="A12:E12"/>
    <mergeCell ref="A22:E22"/>
    <mergeCell ref="A32:E32"/>
    <mergeCell ref="B33:E33"/>
    <mergeCell ref="B34:E34"/>
    <mergeCell ref="D6:E6"/>
    <mergeCell ref="D7:E7"/>
    <mergeCell ref="D8:E8"/>
    <mergeCell ref="D9:E9"/>
    <mergeCell ref="A10:C10"/>
    <mergeCell ref="D10:E10"/>
    <mergeCell ref="A1:E1"/>
    <mergeCell ref="D2:E2"/>
    <mergeCell ref="D3:E3"/>
    <mergeCell ref="D4:E4"/>
    <mergeCell ref="D5:E5"/>
  </mergeCells>
  <conditionalFormatting sqref="C3">
    <cfRule type="expression" dxfId="97" priority="2">
      <formula>$B3&lt;=2.25</formula>
    </cfRule>
    <cfRule type="expression" dxfId="96" priority="3">
      <formula>AND($B3&gt;2.25,$B3&lt;3)</formula>
    </cfRule>
    <cfRule type="expression" dxfId="95" priority="4">
      <formula>AND($B3&gt;=3,$B3&lt;3.5)</formula>
    </cfRule>
    <cfRule type="expression" dxfId="94" priority="5">
      <formula>AND($B3&gt;=3.5,$B3&lt;4)</formula>
    </cfRule>
    <cfRule type="expression" dxfId="93" priority="6">
      <formula>$B3&gt;=4</formula>
    </cfRule>
  </conditionalFormatting>
  <conditionalFormatting sqref="C4">
    <cfRule type="expression" dxfId="92" priority="7">
      <formula>$B4&lt;=2.25</formula>
    </cfRule>
    <cfRule type="expression" dxfId="91" priority="8">
      <formula>AND($B4&gt;2.25,$B4&lt;3)</formula>
    </cfRule>
    <cfRule type="expression" dxfId="90" priority="9">
      <formula>AND($B4&gt;=3,$B4&lt;3.5)</formula>
    </cfRule>
    <cfRule type="expression" dxfId="89" priority="10">
      <formula>AND($B4&gt;=3.5,$B4&lt;4)</formula>
    </cfRule>
    <cfRule type="expression" dxfId="88" priority="11">
      <formula>$B4&gt;=4</formula>
    </cfRule>
  </conditionalFormatting>
  <conditionalFormatting sqref="C5">
    <cfRule type="expression" dxfId="87" priority="12">
      <formula>$B5&lt;=2.25</formula>
    </cfRule>
    <cfRule type="expression" dxfId="86" priority="13">
      <formula>AND($B5&gt;2.25,$B5&lt;3)</formula>
    </cfRule>
    <cfRule type="expression" dxfId="85" priority="14">
      <formula>AND($B5&gt;=3,$B5&lt;3.5)</formula>
    </cfRule>
    <cfRule type="expression" dxfId="84" priority="15">
      <formula>AND($B5&gt;=3.5,$B5&lt;4)</formula>
    </cfRule>
    <cfRule type="expression" dxfId="83" priority="16">
      <formula>$B5&gt;=4</formula>
    </cfRule>
  </conditionalFormatting>
  <conditionalFormatting sqref="C6">
    <cfRule type="expression" dxfId="82" priority="17">
      <formula>$B6&lt;=2.25</formula>
    </cfRule>
    <cfRule type="expression" dxfId="81" priority="18">
      <formula>AND($B6&gt;2.25,$B6&lt;3)</formula>
    </cfRule>
    <cfRule type="expression" dxfId="80" priority="19">
      <formula>AND($B6&gt;=3,$B6&lt;3.5)</formula>
    </cfRule>
    <cfRule type="expression" dxfId="79" priority="20">
      <formula>AND($B6&gt;=3.5,$B6&lt;4)</formula>
    </cfRule>
    <cfRule type="expression" dxfId="78" priority="21">
      <formula>$B6&gt;=4</formula>
    </cfRule>
  </conditionalFormatting>
  <conditionalFormatting sqref="C7">
    <cfRule type="expression" dxfId="77" priority="22">
      <formula>$B7&lt;=2.25</formula>
    </cfRule>
    <cfRule type="expression" dxfId="76" priority="23">
      <formula>AND($B7&gt;2.25,$B7&lt;3)</formula>
    </cfRule>
    <cfRule type="expression" dxfId="75" priority="24">
      <formula>AND($B7&gt;=3,$B7&lt;3.5)</formula>
    </cfRule>
    <cfRule type="expression" dxfId="74" priority="25">
      <formula>AND($B7&gt;=3.5,$B7&lt;4)</formula>
    </cfRule>
    <cfRule type="expression" dxfId="73" priority="26">
      <formula>$B7&gt;=4</formula>
    </cfRule>
  </conditionalFormatting>
  <conditionalFormatting sqref="C8">
    <cfRule type="expression" dxfId="72" priority="27">
      <formula>$B8&lt;=2.25</formula>
    </cfRule>
    <cfRule type="expression" dxfId="71" priority="28">
      <formula>AND($B8&gt;2.25,$B8&lt;3)</formula>
    </cfRule>
    <cfRule type="expression" dxfId="70" priority="29">
      <formula>AND($B8&gt;=3,$B8&lt;3.5)</formula>
    </cfRule>
    <cfRule type="expression" dxfId="69" priority="30">
      <formula>AND($B8&gt;=3.5,$B8&lt;4)</formula>
    </cfRule>
    <cfRule type="expression" dxfId="68" priority="31">
      <formula>$B8&gt;=4</formula>
    </cfRule>
  </conditionalFormatting>
  <conditionalFormatting sqref="C9">
    <cfRule type="expression" dxfId="67" priority="32">
      <formula>$B9&lt;=2.25</formula>
    </cfRule>
    <cfRule type="expression" dxfId="66" priority="33">
      <formula>AND($B9&gt;2.25,$B9&lt;3)</formula>
    </cfRule>
    <cfRule type="expression" dxfId="65" priority="34">
      <formula>AND($B9&gt;=3,$B9&lt;3.5)</formula>
    </cfRule>
    <cfRule type="expression" dxfId="64" priority="35">
      <formula>AND($B9&gt;=3.5,$B9&lt;4)</formula>
    </cfRule>
    <cfRule type="expression" dxfId="63" priority="36">
      <formula>$B9&gt;=4</formula>
    </cfRule>
  </conditionalFormatting>
  <conditionalFormatting sqref="C14">
    <cfRule type="expression" dxfId="62" priority="37">
      <formula>$C14="Urgente"</formula>
    </cfRule>
    <cfRule type="expression" dxfId="61" priority="38">
      <formula>$C14="Attenzione"</formula>
    </cfRule>
  </conditionalFormatting>
  <conditionalFormatting sqref="C15">
    <cfRule type="expression" dxfId="60" priority="39">
      <formula>$C15="Urgente"</formula>
    </cfRule>
    <cfRule type="expression" dxfId="59" priority="40">
      <formula>$C15="Attenzione"</formula>
    </cfRule>
  </conditionalFormatting>
  <conditionalFormatting sqref="C16">
    <cfRule type="expression" dxfId="58" priority="41">
      <formula>$C16="Urgente"</formula>
    </cfRule>
    <cfRule type="expression" dxfId="57" priority="42">
      <formula>$C16="Attenzione"</formula>
    </cfRule>
  </conditionalFormatting>
  <conditionalFormatting sqref="C17">
    <cfRule type="expression" dxfId="56" priority="43">
      <formula>$C17="Urgente"</formula>
    </cfRule>
    <cfRule type="expression" dxfId="55" priority="44">
      <formula>$C17="Attenzione"</formula>
    </cfRule>
  </conditionalFormatting>
  <conditionalFormatting sqref="C18">
    <cfRule type="expression" dxfId="54" priority="45">
      <formula>$C18="Urgente"</formula>
    </cfRule>
    <cfRule type="expression" dxfId="53" priority="46">
      <formula>$C18="Attenzione"</formula>
    </cfRule>
  </conditionalFormatting>
  <conditionalFormatting sqref="C19">
    <cfRule type="expression" dxfId="52" priority="47">
      <formula>$C19="Urgente"</formula>
    </cfRule>
    <cfRule type="expression" dxfId="51" priority="48">
      <formula>$C19="Attenzione"</formula>
    </cfRule>
  </conditionalFormatting>
  <conditionalFormatting sqref="C20">
    <cfRule type="expression" dxfId="50" priority="49">
      <formula>$C20="Urgente"</formula>
    </cfRule>
    <cfRule type="expression" dxfId="49" priority="50">
      <formula>$C20="Attenzione"</formula>
    </cfRule>
  </conditionalFormatting>
  <conditionalFormatting sqref="A24:E24">
    <cfRule type="expression" dxfId="48" priority="51">
      <formula>$D24&gt;=1.5</formula>
    </cfRule>
    <cfRule type="expression" dxfId="47" priority="52">
      <formula>$D24&lt;=-1.5</formula>
    </cfRule>
  </conditionalFormatting>
  <conditionalFormatting sqref="A25:E25">
    <cfRule type="expression" dxfId="46" priority="53">
      <formula>$D25&gt;=1.5</formula>
    </cfRule>
    <cfRule type="expression" dxfId="45" priority="54">
      <formula>$D25&lt;=-1.5</formula>
    </cfRule>
  </conditionalFormatting>
  <conditionalFormatting sqref="A26:E26">
    <cfRule type="expression" dxfId="44" priority="55">
      <formula>$D26&gt;=1.5</formula>
    </cfRule>
    <cfRule type="expression" dxfId="43" priority="56">
      <formula>$D26&lt;=-1.5</formula>
    </cfRule>
  </conditionalFormatting>
  <conditionalFormatting sqref="A27:E27">
    <cfRule type="expression" dxfId="42" priority="57">
      <formula>$D27&gt;=1.5</formula>
    </cfRule>
    <cfRule type="expression" dxfId="41" priority="58">
      <formula>$D27&lt;=-1.5</formula>
    </cfRule>
  </conditionalFormatting>
  <conditionalFormatting sqref="A28:E28">
    <cfRule type="expression" dxfId="40" priority="59">
      <formula>$D28&gt;=1.5</formula>
    </cfRule>
    <cfRule type="expression" dxfId="39" priority="60">
      <formula>$D28&lt;=-1.5</formula>
    </cfRule>
  </conditionalFormatting>
  <conditionalFormatting sqref="A29:E29">
    <cfRule type="expression" dxfId="38" priority="61">
      <formula>$D29&gt;=1.5</formula>
    </cfRule>
    <cfRule type="expression" dxfId="37" priority="62">
      <formula>$D29&lt;=-1.5</formula>
    </cfRule>
  </conditionalFormatting>
  <conditionalFormatting sqref="A30:E30">
    <cfRule type="expression" dxfId="36" priority="63">
      <formula>$D30&gt;=1.5</formula>
    </cfRule>
    <cfRule type="expression" dxfId="35" priority="64">
      <formula>$D30&lt;=-1.5</formula>
    </cfRule>
  </conditionalFormatting>
  <conditionalFormatting sqref="C44">
    <cfRule type="expression" dxfId="34" priority="65">
      <formula>$C44="Urgente"</formula>
    </cfRule>
    <cfRule type="expression" dxfId="33" priority="66">
      <formula>$C44="Alta"</formula>
    </cfRule>
    <cfRule type="expression" dxfId="32" priority="67">
      <formula>$C44="Media"</formula>
    </cfRule>
    <cfRule type="expression" dxfId="31" priority="68">
      <formula>$C44="Bassa"</formula>
    </cfRule>
    <cfRule type="expression" dxfId="30" priority="69">
      <formula>$C44="Mantenimento"</formula>
    </cfRule>
  </conditionalFormatting>
  <conditionalFormatting sqref="C45">
    <cfRule type="expression" dxfId="29" priority="70">
      <formula>$C45="Urgente"</formula>
    </cfRule>
    <cfRule type="expression" dxfId="28" priority="71">
      <formula>$C45="Alta"</formula>
    </cfRule>
    <cfRule type="expression" dxfId="27" priority="72">
      <formula>$C45="Media"</formula>
    </cfRule>
    <cfRule type="expression" dxfId="26" priority="73">
      <formula>$C45="Bassa"</formula>
    </cfRule>
    <cfRule type="expression" dxfId="25" priority="74">
      <formula>$C45="Mantenimento"</formula>
    </cfRule>
  </conditionalFormatting>
  <conditionalFormatting sqref="C46">
    <cfRule type="expression" dxfId="24" priority="75">
      <formula>$C46="Urgente"</formula>
    </cfRule>
    <cfRule type="expression" dxfId="23" priority="76">
      <formula>$C46="Alta"</formula>
    </cfRule>
    <cfRule type="expression" dxfId="22" priority="77">
      <formula>$C46="Media"</formula>
    </cfRule>
    <cfRule type="expression" dxfId="21" priority="78">
      <formula>$C46="Bassa"</formula>
    </cfRule>
    <cfRule type="expression" dxfId="20" priority="79">
      <formula>$C46="Mantenimento"</formula>
    </cfRule>
  </conditionalFormatting>
  <conditionalFormatting sqref="C47">
    <cfRule type="expression" dxfId="19" priority="80">
      <formula>$C47="Urgente"</formula>
    </cfRule>
    <cfRule type="expression" dxfId="18" priority="81">
      <formula>$C47="Alta"</formula>
    </cfRule>
    <cfRule type="expression" dxfId="17" priority="82">
      <formula>$C47="Media"</formula>
    </cfRule>
    <cfRule type="expression" dxfId="16" priority="83">
      <formula>$C47="Bassa"</formula>
    </cfRule>
    <cfRule type="expression" dxfId="15" priority="84">
      <formula>$C47="Mantenimento"</formula>
    </cfRule>
  </conditionalFormatting>
  <conditionalFormatting sqref="C48">
    <cfRule type="expression" dxfId="14" priority="85">
      <formula>$C48="Urgente"</formula>
    </cfRule>
    <cfRule type="expression" dxfId="13" priority="86">
      <formula>$C48="Alta"</formula>
    </cfRule>
    <cfRule type="expression" dxfId="12" priority="87">
      <formula>$C48="Media"</formula>
    </cfRule>
    <cfRule type="expression" dxfId="11" priority="88">
      <formula>$C48="Bassa"</formula>
    </cfRule>
    <cfRule type="expression" dxfId="10" priority="89">
      <formula>$C48="Mantenimento"</formula>
    </cfRule>
  </conditionalFormatting>
  <conditionalFormatting sqref="C49">
    <cfRule type="expression" dxfId="9" priority="90">
      <formula>$C49="Urgente"</formula>
    </cfRule>
    <cfRule type="expression" dxfId="8" priority="91">
      <formula>$C49="Alta"</formula>
    </cfRule>
    <cfRule type="expression" dxfId="7" priority="92">
      <formula>$C49="Media"</formula>
    </cfRule>
    <cfRule type="expression" dxfId="6" priority="93">
      <formula>$C49="Bassa"</formula>
    </cfRule>
    <cfRule type="expression" dxfId="5" priority="94">
      <formula>$C49="Mantenimento"</formula>
    </cfRule>
  </conditionalFormatting>
  <conditionalFormatting sqref="C50">
    <cfRule type="expression" dxfId="4" priority="95">
      <formula>$C50="Urgente"</formula>
    </cfRule>
    <cfRule type="expression" dxfId="3" priority="96">
      <formula>$C50="Alta"</formula>
    </cfRule>
    <cfRule type="expression" dxfId="2" priority="97">
      <formula>$C50="Media"</formula>
    </cfRule>
    <cfRule type="expression" dxfId="1" priority="98">
      <formula>$C50="Bassa"</formula>
    </cfRule>
    <cfRule type="expression" dxfId="0" priority="99">
      <formula>$C50="Mantenimento"</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zoomScaleNormal="100" workbookViewId="0">
      <selection activeCell="A13" sqref="A13"/>
    </sheetView>
  </sheetViews>
  <sheetFormatPr defaultColWidth="8.7109375" defaultRowHeight="15"/>
  <cols>
    <col min="1" max="1" width="35" customWidth="1"/>
    <col min="2" max="2" width="15.5703125" customWidth="1"/>
    <col min="3" max="3" width="25" customWidth="1"/>
    <col min="4" max="4" width="13.7109375" customWidth="1"/>
    <col min="5" max="5" width="30.7109375" customWidth="1"/>
    <col min="6" max="6" width="80" customWidth="1"/>
  </cols>
  <sheetData>
    <row r="1" spans="1:6" ht="15" customHeight="1">
      <c r="A1" s="45" t="s">
        <v>13</v>
      </c>
      <c r="B1" s="45" t="s">
        <v>359</v>
      </c>
      <c r="C1" s="45" t="s">
        <v>360</v>
      </c>
      <c r="D1" s="45" t="s">
        <v>361</v>
      </c>
      <c r="E1" s="45" t="s">
        <v>362</v>
      </c>
      <c r="F1" s="45" t="s">
        <v>363</v>
      </c>
    </row>
    <row r="2" spans="1:6" ht="15" customHeight="1">
      <c r="A2" t="s">
        <v>364</v>
      </c>
      <c r="B2" t="s">
        <v>365</v>
      </c>
      <c r="C2" t="s">
        <v>366</v>
      </c>
      <c r="D2" t="s">
        <v>367</v>
      </c>
      <c r="E2" t="s">
        <v>368</v>
      </c>
      <c r="F2" t="s">
        <v>369</v>
      </c>
    </row>
    <row r="3" spans="1:6" ht="15" customHeight="1">
      <c r="A3" t="s">
        <v>370</v>
      </c>
      <c r="B3" t="s">
        <v>371</v>
      </c>
      <c r="C3" t="s">
        <v>366</v>
      </c>
      <c r="D3" t="s">
        <v>367</v>
      </c>
      <c r="E3" t="s">
        <v>368</v>
      </c>
      <c r="F3" t="s">
        <v>372</v>
      </c>
    </row>
    <row r="4" spans="1:6" ht="15" customHeight="1">
      <c r="A4" t="s">
        <v>373</v>
      </c>
      <c r="B4" t="s">
        <v>374</v>
      </c>
      <c r="C4" t="s">
        <v>366</v>
      </c>
      <c r="D4" t="s">
        <v>367</v>
      </c>
      <c r="E4" t="s">
        <v>375</v>
      </c>
      <c r="F4" t="s">
        <v>376</v>
      </c>
    </row>
    <row r="5" spans="1:6" ht="15" customHeight="1">
      <c r="A5" t="s">
        <v>377</v>
      </c>
      <c r="B5" t="s">
        <v>378</v>
      </c>
      <c r="C5" t="s">
        <v>366</v>
      </c>
      <c r="D5" t="s">
        <v>367</v>
      </c>
      <c r="E5" t="s">
        <v>375</v>
      </c>
      <c r="F5" t="s">
        <v>379</v>
      </c>
    </row>
    <row r="6" spans="1:6" ht="15" customHeight="1">
      <c r="A6" t="s">
        <v>380</v>
      </c>
      <c r="B6" t="s">
        <v>381</v>
      </c>
      <c r="C6" t="s">
        <v>366</v>
      </c>
      <c r="D6" t="s">
        <v>367</v>
      </c>
      <c r="E6" t="s">
        <v>375</v>
      </c>
      <c r="F6" t="s">
        <v>382</v>
      </c>
    </row>
    <row r="7" spans="1:6" ht="15" customHeight="1">
      <c r="A7" t="s">
        <v>383</v>
      </c>
      <c r="B7" t="s">
        <v>384</v>
      </c>
      <c r="C7" t="s">
        <v>366</v>
      </c>
      <c r="D7" t="s">
        <v>367</v>
      </c>
      <c r="E7" t="s">
        <v>368</v>
      </c>
      <c r="F7" t="s">
        <v>385</v>
      </c>
    </row>
    <row r="8" spans="1:6" ht="15" customHeight="1">
      <c r="A8" t="s">
        <v>386</v>
      </c>
      <c r="B8" t="s">
        <v>387</v>
      </c>
      <c r="C8" t="s">
        <v>366</v>
      </c>
      <c r="D8" t="s">
        <v>367</v>
      </c>
      <c r="E8" t="s">
        <v>368</v>
      </c>
      <c r="F8" t="s">
        <v>388</v>
      </c>
    </row>
    <row r="9" spans="1:6" ht="15" customHeight="1">
      <c r="A9" t="s">
        <v>389</v>
      </c>
      <c r="B9" t="s">
        <v>390</v>
      </c>
      <c r="C9" t="s">
        <v>391</v>
      </c>
      <c r="D9" t="s">
        <v>392</v>
      </c>
      <c r="E9" t="s">
        <v>393</v>
      </c>
      <c r="F9" t="s">
        <v>394</v>
      </c>
    </row>
    <row r="10" spans="1:6" ht="15" customHeight="1">
      <c r="A10" t="s">
        <v>395</v>
      </c>
      <c r="B10" t="s">
        <v>396</v>
      </c>
      <c r="C10" t="s">
        <v>397</v>
      </c>
      <c r="D10" t="s">
        <v>398</v>
      </c>
      <c r="E10" t="s">
        <v>393</v>
      </c>
      <c r="F10" t="s">
        <v>399</v>
      </c>
    </row>
    <row r="11" spans="1:6" ht="15" customHeight="1">
      <c r="A11" t="s">
        <v>400</v>
      </c>
      <c r="B11" t="s">
        <v>401</v>
      </c>
      <c r="C11" t="s">
        <v>402</v>
      </c>
      <c r="D11" t="s">
        <v>398</v>
      </c>
      <c r="E11" t="s">
        <v>393</v>
      </c>
      <c r="F11" t="s">
        <v>403</v>
      </c>
    </row>
    <row r="12" spans="1:6" ht="15" customHeight="1">
      <c r="A12" t="s">
        <v>404</v>
      </c>
      <c r="B12" t="s">
        <v>401</v>
      </c>
      <c r="C12" t="s">
        <v>405</v>
      </c>
      <c r="D12" t="s">
        <v>406</v>
      </c>
      <c r="E12" t="s">
        <v>407</v>
      </c>
      <c r="F12" t="s">
        <v>408</v>
      </c>
    </row>
    <row r="13" spans="1:6" ht="15" customHeight="1">
      <c r="A13" t="s">
        <v>409</v>
      </c>
      <c r="B13" t="s">
        <v>410</v>
      </c>
      <c r="C13" t="s">
        <v>411</v>
      </c>
      <c r="D13" t="s">
        <v>412</v>
      </c>
      <c r="E13" t="s">
        <v>393</v>
      </c>
      <c r="F13" t="s">
        <v>413</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zoomScaleNormal="100" workbookViewId="0"/>
  </sheetViews>
  <sheetFormatPr defaultColWidth="8.7109375" defaultRowHeight="15"/>
  <cols>
    <col min="1" max="1" width="28" customWidth="1"/>
    <col min="2" max="2" width="22" customWidth="1"/>
    <col min="4" max="4" width="80" customWidth="1"/>
  </cols>
  <sheetData>
    <row r="1" spans="1:5" ht="30" customHeight="1">
      <c r="A1" s="103" t="s">
        <v>414</v>
      </c>
      <c r="B1" s="103"/>
      <c r="C1" s="103"/>
      <c r="D1" s="103"/>
      <c r="E1" s="103"/>
    </row>
    <row r="2" spans="1:5" ht="26.25" customHeight="1">
      <c r="A2" s="46" t="s">
        <v>290</v>
      </c>
      <c r="B2" s="46" t="s">
        <v>415</v>
      </c>
      <c r="C2" s="46" t="s">
        <v>416</v>
      </c>
      <c r="D2" s="46" t="s">
        <v>417</v>
      </c>
    </row>
    <row r="3" spans="1:5" ht="39.75" customHeight="1">
      <c r="A3" s="104" t="s">
        <v>418</v>
      </c>
      <c r="B3" s="104"/>
      <c r="C3" s="104"/>
      <c r="D3" s="104"/>
    </row>
    <row r="4" spans="1:5" ht="90" customHeight="1">
      <c r="A4" s="47" t="s">
        <v>419</v>
      </c>
      <c r="B4" s="48" t="s">
        <v>420</v>
      </c>
      <c r="C4" s="48" t="s">
        <v>420</v>
      </c>
      <c r="D4" s="49" t="s">
        <v>421</v>
      </c>
    </row>
    <row r="5" spans="1:5" ht="90" customHeight="1">
      <c r="A5" s="50" t="s">
        <v>422</v>
      </c>
      <c r="B5" s="51" t="s">
        <v>420</v>
      </c>
      <c r="C5" s="51" t="s">
        <v>423</v>
      </c>
      <c r="D5" s="52" t="s">
        <v>424</v>
      </c>
    </row>
    <row r="6" spans="1:5" ht="90" customHeight="1">
      <c r="A6" s="47" t="s">
        <v>425</v>
      </c>
      <c r="B6" s="48" t="s">
        <v>423</v>
      </c>
      <c r="C6" s="48" t="s">
        <v>420</v>
      </c>
      <c r="D6" s="49" t="s">
        <v>426</v>
      </c>
    </row>
    <row r="7" spans="1:5" ht="90" customHeight="1">
      <c r="A7" s="50" t="s">
        <v>427</v>
      </c>
      <c r="B7" s="51" t="s">
        <v>428</v>
      </c>
      <c r="C7" s="51" t="s">
        <v>428</v>
      </c>
      <c r="D7" s="52" t="s">
        <v>429</v>
      </c>
    </row>
    <row r="8" spans="1:5" ht="90" customHeight="1">
      <c r="A8" s="47" t="s">
        <v>430</v>
      </c>
      <c r="B8" s="48" t="s">
        <v>431</v>
      </c>
      <c r="C8" s="48" t="s">
        <v>432</v>
      </c>
      <c r="D8" s="49" t="s">
        <v>433</v>
      </c>
    </row>
    <row r="9" spans="1:5" ht="90" customHeight="1">
      <c r="A9" s="50" t="s">
        <v>434</v>
      </c>
      <c r="B9" s="51" t="s">
        <v>435</v>
      </c>
      <c r="C9" s="51" t="s">
        <v>435</v>
      </c>
      <c r="D9" s="52" t="s">
        <v>436</v>
      </c>
    </row>
  </sheetData>
  <mergeCells count="2">
    <mergeCell ref="A1:E1"/>
    <mergeCell ref="A3:D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5"/>
  <sheetViews>
    <sheetView zoomScaleNormal="100" workbookViewId="0"/>
  </sheetViews>
  <sheetFormatPr defaultColWidth="8.7109375" defaultRowHeight="15"/>
  <cols>
    <col min="1" max="1" width="28" customWidth="1"/>
    <col min="2" max="2" width="16" customWidth="1"/>
    <col min="3" max="3" width="80" customWidth="1"/>
  </cols>
  <sheetData>
    <row r="1" spans="1:3" ht="15" customHeight="1">
      <c r="A1" s="69" t="s">
        <v>437</v>
      </c>
    </row>
    <row r="2" spans="1:3" ht="26.25" customHeight="1">
      <c r="A2" s="46" t="s">
        <v>295</v>
      </c>
      <c r="B2" s="46" t="s">
        <v>438</v>
      </c>
      <c r="C2" s="46" t="s">
        <v>417</v>
      </c>
    </row>
    <row r="3" spans="1:3" ht="34.5" customHeight="1">
      <c r="A3" s="53" t="s">
        <v>439</v>
      </c>
    </row>
    <row r="4" spans="1:3" ht="24" customHeight="1">
      <c r="A4" s="69" t="s">
        <v>297</v>
      </c>
    </row>
    <row r="5" spans="1:3" ht="99.75" customHeight="1">
      <c r="A5" s="54" t="s">
        <v>297</v>
      </c>
      <c r="B5" s="54" t="s">
        <v>440</v>
      </c>
      <c r="C5" s="55" t="s">
        <v>441</v>
      </c>
    </row>
    <row r="6" spans="1:3" ht="99.75" customHeight="1">
      <c r="A6" s="56" t="s">
        <v>297</v>
      </c>
      <c r="B6" s="56" t="s">
        <v>442</v>
      </c>
      <c r="C6" s="57" t="s">
        <v>443</v>
      </c>
    </row>
    <row r="7" spans="1:3" ht="99.75" customHeight="1">
      <c r="A7" s="58" t="s">
        <v>297</v>
      </c>
      <c r="B7" s="58" t="s">
        <v>444</v>
      </c>
      <c r="C7" s="59" t="s">
        <v>445</v>
      </c>
    </row>
    <row r="8" spans="1:3" ht="99.75" customHeight="1">
      <c r="A8" s="60" t="s">
        <v>297</v>
      </c>
      <c r="B8" s="60" t="s">
        <v>446</v>
      </c>
      <c r="C8" s="61" t="s">
        <v>447</v>
      </c>
    </row>
    <row r="9" spans="1:3">
      <c r="A9" t="s">
        <v>297</v>
      </c>
      <c r="B9" t="s">
        <v>448</v>
      </c>
      <c r="C9" t="s">
        <v>449</v>
      </c>
    </row>
    <row r="10" spans="1:3" ht="24" customHeight="1">
      <c r="A10" s="69" t="s">
        <v>298</v>
      </c>
    </row>
    <row r="11" spans="1:3" ht="99.75" customHeight="1">
      <c r="A11" s="54" t="s">
        <v>298</v>
      </c>
      <c r="B11" s="54" t="s">
        <v>440</v>
      </c>
      <c r="C11" s="55" t="s">
        <v>450</v>
      </c>
    </row>
    <row r="12" spans="1:3" ht="99.75" customHeight="1">
      <c r="A12" s="56" t="s">
        <v>298</v>
      </c>
      <c r="B12" s="56" t="s">
        <v>442</v>
      </c>
      <c r="C12" s="57" t="s">
        <v>451</v>
      </c>
    </row>
    <row r="13" spans="1:3" ht="99.75" customHeight="1">
      <c r="A13" s="58" t="s">
        <v>298</v>
      </c>
      <c r="B13" s="58" t="s">
        <v>444</v>
      </c>
      <c r="C13" s="59" t="s">
        <v>452</v>
      </c>
    </row>
    <row r="14" spans="1:3" ht="99.75" customHeight="1">
      <c r="A14" s="60" t="s">
        <v>298</v>
      </c>
      <c r="B14" s="60" t="s">
        <v>446</v>
      </c>
      <c r="C14" s="61" t="s">
        <v>453</v>
      </c>
    </row>
    <row r="15" spans="1:3">
      <c r="A15" t="s">
        <v>298</v>
      </c>
      <c r="B15" t="s">
        <v>448</v>
      </c>
      <c r="C15" t="s">
        <v>454</v>
      </c>
    </row>
    <row r="16" spans="1:3" ht="24" customHeight="1">
      <c r="A16" s="69" t="s">
        <v>299</v>
      </c>
    </row>
    <row r="17" spans="1:3" ht="99.75" customHeight="1">
      <c r="A17" s="54" t="s">
        <v>299</v>
      </c>
      <c r="B17" s="54" t="s">
        <v>440</v>
      </c>
      <c r="C17" s="55" t="s">
        <v>455</v>
      </c>
    </row>
    <row r="18" spans="1:3" ht="99.75" customHeight="1">
      <c r="A18" s="56" t="s">
        <v>299</v>
      </c>
      <c r="B18" s="56" t="s">
        <v>442</v>
      </c>
      <c r="C18" s="57" t="s">
        <v>456</v>
      </c>
    </row>
    <row r="19" spans="1:3" ht="99.75" customHeight="1">
      <c r="A19" s="58" t="s">
        <v>299</v>
      </c>
      <c r="B19" s="58" t="s">
        <v>444</v>
      </c>
      <c r="C19" s="59" t="s">
        <v>457</v>
      </c>
    </row>
    <row r="20" spans="1:3" ht="99.75" customHeight="1">
      <c r="A20" s="60" t="s">
        <v>299</v>
      </c>
      <c r="B20" s="60" t="s">
        <v>446</v>
      </c>
      <c r="C20" s="61" t="s">
        <v>458</v>
      </c>
    </row>
    <row r="21" spans="1:3">
      <c r="A21" t="s">
        <v>299</v>
      </c>
      <c r="B21" t="s">
        <v>448</v>
      </c>
      <c r="C21" t="s">
        <v>459</v>
      </c>
    </row>
    <row r="22" spans="1:3" ht="24" customHeight="1">
      <c r="A22" s="69" t="s">
        <v>300</v>
      </c>
    </row>
    <row r="23" spans="1:3" ht="99.75" customHeight="1">
      <c r="A23" s="54" t="s">
        <v>300</v>
      </c>
      <c r="B23" s="54" t="s">
        <v>440</v>
      </c>
      <c r="C23" s="55" t="s">
        <v>460</v>
      </c>
    </row>
    <row r="24" spans="1:3" ht="99.75" customHeight="1">
      <c r="A24" s="56" t="s">
        <v>300</v>
      </c>
      <c r="B24" s="56" t="s">
        <v>442</v>
      </c>
      <c r="C24" s="57" t="s">
        <v>461</v>
      </c>
    </row>
    <row r="25" spans="1:3" ht="99.75" customHeight="1">
      <c r="A25" s="58" t="s">
        <v>300</v>
      </c>
      <c r="B25" s="58" t="s">
        <v>444</v>
      </c>
      <c r="C25" s="59" t="s">
        <v>462</v>
      </c>
    </row>
    <row r="26" spans="1:3" ht="99.75" customHeight="1">
      <c r="A26" s="60" t="s">
        <v>300</v>
      </c>
      <c r="B26" s="60" t="s">
        <v>446</v>
      </c>
      <c r="C26" s="61" t="s">
        <v>463</v>
      </c>
    </row>
    <row r="27" spans="1:3">
      <c r="A27" t="s">
        <v>300</v>
      </c>
      <c r="B27" t="s">
        <v>448</v>
      </c>
      <c r="C27" t="s">
        <v>464</v>
      </c>
    </row>
    <row r="28" spans="1:3" ht="24" customHeight="1">
      <c r="A28" s="69" t="s">
        <v>301</v>
      </c>
    </row>
    <row r="29" spans="1:3" ht="99.75" customHeight="1">
      <c r="A29" s="54" t="s">
        <v>301</v>
      </c>
      <c r="B29" s="54" t="s">
        <v>440</v>
      </c>
      <c r="C29" s="55" t="s">
        <v>465</v>
      </c>
    </row>
    <row r="30" spans="1:3" ht="99.75" customHeight="1">
      <c r="A30" s="56" t="s">
        <v>301</v>
      </c>
      <c r="B30" s="56" t="s">
        <v>442</v>
      </c>
      <c r="C30" s="57" t="s">
        <v>466</v>
      </c>
    </row>
    <row r="31" spans="1:3" ht="99.75" customHeight="1">
      <c r="A31" s="58" t="s">
        <v>301</v>
      </c>
      <c r="B31" s="58" t="s">
        <v>444</v>
      </c>
      <c r="C31" s="59" t="s">
        <v>467</v>
      </c>
    </row>
    <row r="32" spans="1:3" ht="99.75" customHeight="1">
      <c r="A32" s="60" t="s">
        <v>301</v>
      </c>
      <c r="B32" s="60" t="s">
        <v>446</v>
      </c>
      <c r="C32" s="61" t="s">
        <v>468</v>
      </c>
    </row>
    <row r="33" spans="1:3">
      <c r="A33" t="s">
        <v>301</v>
      </c>
      <c r="B33" t="s">
        <v>448</v>
      </c>
      <c r="C33" t="s">
        <v>469</v>
      </c>
    </row>
    <row r="34" spans="1:3" ht="24" customHeight="1">
      <c r="A34" s="69" t="s">
        <v>470</v>
      </c>
    </row>
    <row r="35" spans="1:3" ht="99.75" customHeight="1">
      <c r="A35" s="54" t="s">
        <v>470</v>
      </c>
      <c r="B35" s="54" t="s">
        <v>440</v>
      </c>
      <c r="C35" s="55" t="s">
        <v>471</v>
      </c>
    </row>
    <row r="36" spans="1:3" ht="99.75" customHeight="1">
      <c r="A36" s="56" t="s">
        <v>470</v>
      </c>
      <c r="B36" s="56" t="s">
        <v>442</v>
      </c>
      <c r="C36" s="57" t="s">
        <v>472</v>
      </c>
    </row>
    <row r="37" spans="1:3" ht="99.75" customHeight="1">
      <c r="A37" s="58" t="s">
        <v>470</v>
      </c>
      <c r="B37" s="58" t="s">
        <v>444</v>
      </c>
      <c r="C37" s="59" t="s">
        <v>473</v>
      </c>
    </row>
    <row r="38" spans="1:3" ht="99.75" customHeight="1">
      <c r="A38" s="60" t="s">
        <v>470</v>
      </c>
      <c r="B38" s="60" t="s">
        <v>446</v>
      </c>
      <c r="C38" s="61" t="s">
        <v>474</v>
      </c>
    </row>
    <row r="39" spans="1:3">
      <c r="A39" t="s">
        <v>470</v>
      </c>
      <c r="B39" t="s">
        <v>448</v>
      </c>
      <c r="C39" t="s">
        <v>475</v>
      </c>
    </row>
    <row r="40" spans="1:3" ht="24" customHeight="1">
      <c r="A40" s="69" t="s">
        <v>303</v>
      </c>
    </row>
    <row r="41" spans="1:3" ht="99.75" customHeight="1">
      <c r="A41" s="54" t="s">
        <v>303</v>
      </c>
      <c r="B41" s="54" t="s">
        <v>440</v>
      </c>
      <c r="C41" s="55" t="s">
        <v>476</v>
      </c>
    </row>
    <row r="42" spans="1:3" ht="99.75" customHeight="1">
      <c r="A42" s="56" t="s">
        <v>303</v>
      </c>
      <c r="B42" s="56" t="s">
        <v>442</v>
      </c>
      <c r="C42" s="57" t="s">
        <v>477</v>
      </c>
    </row>
    <row r="43" spans="1:3" ht="99.75" customHeight="1">
      <c r="A43" s="58" t="s">
        <v>303</v>
      </c>
      <c r="B43" s="58" t="s">
        <v>444</v>
      </c>
      <c r="C43" s="59" t="s">
        <v>478</v>
      </c>
    </row>
    <row r="44" spans="1:3" ht="99.75" customHeight="1">
      <c r="A44" s="60" t="s">
        <v>303</v>
      </c>
      <c r="B44" s="60" t="s">
        <v>446</v>
      </c>
      <c r="C44" s="61" t="s">
        <v>479</v>
      </c>
    </row>
    <row r="45" spans="1:3">
      <c r="A45" t="s">
        <v>303</v>
      </c>
      <c r="B45" t="s">
        <v>448</v>
      </c>
      <c r="C45" t="s">
        <v>480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8"/>
  <sheetViews>
    <sheetView zoomScaleNormal="100" workbookViewId="0"/>
  </sheetViews>
  <sheetFormatPr defaultColWidth="8.7109375" defaultRowHeight="15"/>
  <cols>
    <col min="1" max="1" width="28" customWidth="1"/>
    <col min="2" max="2" width="20" customWidth="1"/>
    <col min="3" max="3" width="80" customWidth="1"/>
  </cols>
  <sheetData>
    <row r="1" spans="1:3" ht="15" customHeight="1">
      <c r="A1" s="69" t="s">
        <v>481</v>
      </c>
    </row>
    <row r="2" spans="1:3" ht="15" customHeight="1">
      <c r="A2" s="46" t="s">
        <v>482</v>
      </c>
      <c r="B2" s="46" t="s">
        <v>307</v>
      </c>
      <c r="C2" s="46" t="s">
        <v>417</v>
      </c>
    </row>
    <row r="3" spans="1:3" ht="34.5" customHeight="1">
      <c r="A3" s="53" t="s">
        <v>483</v>
      </c>
    </row>
    <row r="4" spans="1:3" ht="24" customHeight="1">
      <c r="A4" s="69" t="s">
        <v>309</v>
      </c>
    </row>
    <row r="5" spans="1:3" ht="99.75" customHeight="1">
      <c r="A5" s="54" t="s">
        <v>309</v>
      </c>
      <c r="B5" s="54" t="s">
        <v>484</v>
      </c>
      <c r="C5" s="55" t="s">
        <v>485</v>
      </c>
    </row>
    <row r="6" spans="1:3" ht="99.75" customHeight="1">
      <c r="A6" s="56" t="s">
        <v>309</v>
      </c>
      <c r="B6" s="56" t="s">
        <v>486</v>
      </c>
      <c r="C6" s="57" t="s">
        <v>487</v>
      </c>
    </row>
    <row r="7" spans="1:3" ht="99.75" customHeight="1">
      <c r="A7" s="58" t="s">
        <v>309</v>
      </c>
      <c r="B7" s="58" t="s">
        <v>488</v>
      </c>
      <c r="C7" s="59" t="s">
        <v>489</v>
      </c>
    </row>
    <row r="8" spans="1:3" ht="99.75" customHeight="1">
      <c r="A8" s="60" t="s">
        <v>309</v>
      </c>
      <c r="B8" s="60" t="s">
        <v>490</v>
      </c>
      <c r="C8" s="61" t="s">
        <v>491</v>
      </c>
    </row>
    <row r="9" spans="1:3">
      <c r="A9" t="s">
        <v>349</v>
      </c>
    </row>
    <row r="10" spans="1:3" ht="24" customHeight="1">
      <c r="A10" s="69" t="s">
        <v>349</v>
      </c>
      <c r="B10" t="s">
        <v>484</v>
      </c>
      <c r="C10" t="s">
        <v>492</v>
      </c>
    </row>
    <row r="11" spans="1:3" ht="99.75" customHeight="1">
      <c r="A11" s="54" t="s">
        <v>349</v>
      </c>
      <c r="B11" s="54" t="s">
        <v>486</v>
      </c>
      <c r="C11" s="55" t="s">
        <v>493</v>
      </c>
    </row>
    <row r="12" spans="1:3" ht="99.75" customHeight="1">
      <c r="A12" s="56" t="s">
        <v>349</v>
      </c>
      <c r="B12" s="56" t="s">
        <v>488</v>
      </c>
      <c r="C12" s="57" t="s">
        <v>494</v>
      </c>
    </row>
    <row r="13" spans="1:3" ht="99.75" customHeight="1">
      <c r="A13" s="58" t="s">
        <v>349</v>
      </c>
      <c r="B13" s="58" t="s">
        <v>490</v>
      </c>
      <c r="C13" s="59" t="s">
        <v>495</v>
      </c>
    </row>
    <row r="14" spans="1:3" ht="99.75" customHeight="1">
      <c r="A14" s="60" t="s">
        <v>311</v>
      </c>
      <c r="B14" s="60"/>
      <c r="C14" s="61"/>
    </row>
    <row r="15" spans="1:3">
      <c r="A15" t="s">
        <v>311</v>
      </c>
      <c r="B15" t="s">
        <v>484</v>
      </c>
      <c r="C15" t="s">
        <v>496</v>
      </c>
    </row>
    <row r="16" spans="1:3" ht="24" customHeight="1">
      <c r="A16" s="69" t="s">
        <v>311</v>
      </c>
      <c r="B16" t="s">
        <v>486</v>
      </c>
      <c r="C16" t="s">
        <v>497</v>
      </c>
    </row>
    <row r="17" spans="1:3" ht="99.75" customHeight="1">
      <c r="A17" s="54" t="s">
        <v>311</v>
      </c>
      <c r="B17" s="54" t="s">
        <v>488</v>
      </c>
      <c r="C17" s="55" t="s">
        <v>498</v>
      </c>
    </row>
    <row r="18" spans="1:3" ht="99.75" customHeight="1">
      <c r="A18" s="56" t="s">
        <v>311</v>
      </c>
      <c r="B18" s="56" t="s">
        <v>490</v>
      </c>
      <c r="C18" s="57" t="s">
        <v>499</v>
      </c>
    </row>
    <row r="19" spans="1:3" ht="99.75" customHeight="1">
      <c r="A19" s="58" t="s">
        <v>312</v>
      </c>
      <c r="B19" s="58"/>
      <c r="C19" s="59"/>
    </row>
    <row r="20" spans="1:3" ht="99.75" customHeight="1">
      <c r="A20" s="60" t="s">
        <v>312</v>
      </c>
      <c r="B20" s="60" t="s">
        <v>484</v>
      </c>
      <c r="C20" s="61" t="s">
        <v>500</v>
      </c>
    </row>
    <row r="21" spans="1:3">
      <c r="A21" t="s">
        <v>312</v>
      </c>
      <c r="B21" t="s">
        <v>486</v>
      </c>
      <c r="C21" t="s">
        <v>501</v>
      </c>
    </row>
    <row r="22" spans="1:3">
      <c r="A22" t="s">
        <v>312</v>
      </c>
      <c r="B22" t="s">
        <v>488</v>
      </c>
      <c r="C22" t="s">
        <v>502</v>
      </c>
    </row>
    <row r="23" spans="1:3">
      <c r="A23" t="s">
        <v>312</v>
      </c>
      <c r="B23" t="s">
        <v>490</v>
      </c>
      <c r="C23" t="s">
        <v>503</v>
      </c>
    </row>
    <row r="24" spans="1:3">
      <c r="A24" t="s">
        <v>313</v>
      </c>
    </row>
    <row r="25" spans="1:3">
      <c r="A25" t="s">
        <v>313</v>
      </c>
      <c r="B25" t="s">
        <v>484</v>
      </c>
      <c r="C25" t="s">
        <v>504</v>
      </c>
    </row>
    <row r="26" spans="1:3">
      <c r="A26" t="s">
        <v>313</v>
      </c>
      <c r="B26" t="s">
        <v>486</v>
      </c>
      <c r="C26" t="s">
        <v>505</v>
      </c>
    </row>
    <row r="27" spans="1:3">
      <c r="A27" t="s">
        <v>313</v>
      </c>
      <c r="B27" t="s">
        <v>488</v>
      </c>
      <c r="C27" t="s">
        <v>506</v>
      </c>
    </row>
    <row r="28" spans="1:3">
      <c r="A28" t="s">
        <v>313</v>
      </c>
      <c r="B28" t="s">
        <v>490</v>
      </c>
      <c r="C28" t="s">
        <v>507</v>
      </c>
    </row>
    <row r="29" spans="1:3">
      <c r="A29" t="s">
        <v>314</v>
      </c>
    </row>
    <row r="30" spans="1:3">
      <c r="A30" t="s">
        <v>314</v>
      </c>
      <c r="B30" t="s">
        <v>484</v>
      </c>
      <c r="C30" t="s">
        <v>508</v>
      </c>
    </row>
    <row r="31" spans="1:3">
      <c r="A31" t="s">
        <v>314</v>
      </c>
      <c r="B31" t="s">
        <v>486</v>
      </c>
      <c r="C31" t="s">
        <v>509</v>
      </c>
    </row>
    <row r="32" spans="1:3">
      <c r="A32" t="s">
        <v>314</v>
      </c>
      <c r="B32" t="s">
        <v>488</v>
      </c>
      <c r="C32" t="s">
        <v>510</v>
      </c>
    </row>
    <row r="33" spans="1:3">
      <c r="A33" t="s">
        <v>314</v>
      </c>
      <c r="B33" t="s">
        <v>490</v>
      </c>
      <c r="C33" t="s">
        <v>511</v>
      </c>
    </row>
    <row r="34" spans="1:3">
      <c r="A34" t="s">
        <v>315</v>
      </c>
    </row>
    <row r="35" spans="1:3">
      <c r="A35" t="s">
        <v>315</v>
      </c>
      <c r="B35" t="s">
        <v>484</v>
      </c>
      <c r="C35" t="s">
        <v>512</v>
      </c>
    </row>
    <row r="36" spans="1:3">
      <c r="A36" t="s">
        <v>315</v>
      </c>
      <c r="B36" t="s">
        <v>486</v>
      </c>
      <c r="C36" t="s">
        <v>513</v>
      </c>
    </row>
    <row r="37" spans="1:3">
      <c r="A37" t="s">
        <v>315</v>
      </c>
      <c r="B37" t="s">
        <v>488</v>
      </c>
      <c r="C37" t="s">
        <v>514</v>
      </c>
    </row>
    <row r="38" spans="1:3">
      <c r="A38" t="s">
        <v>315</v>
      </c>
      <c r="B38" t="s">
        <v>490</v>
      </c>
      <c r="C38" t="s">
        <v>515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
  <sheetViews>
    <sheetView zoomScaleNormal="100" workbookViewId="0"/>
  </sheetViews>
  <sheetFormatPr defaultColWidth="8.7109375" defaultRowHeight="15"/>
  <cols>
    <col min="1" max="1" width="28" customWidth="1"/>
    <col min="2" max="2" width="24" customWidth="1"/>
    <col min="3" max="3" width="80" customWidth="1"/>
  </cols>
  <sheetData>
    <row r="1" spans="1:3" ht="15" customHeight="1">
      <c r="A1" s="69" t="s">
        <v>516</v>
      </c>
    </row>
    <row r="2" spans="1:3" ht="15" customHeight="1">
      <c r="A2" s="46" t="s">
        <v>295</v>
      </c>
      <c r="B2" s="46" t="s">
        <v>517</v>
      </c>
      <c r="C2" s="46" t="s">
        <v>417</v>
      </c>
    </row>
    <row r="3" spans="1:3" ht="39.75" customHeight="1">
      <c r="A3" s="53" t="s">
        <v>518</v>
      </c>
    </row>
    <row r="4" spans="1:3" ht="24" customHeight="1">
      <c r="A4" s="69" t="s">
        <v>297</v>
      </c>
    </row>
    <row r="5" spans="1:3" ht="90" customHeight="1">
      <c r="A5" s="62" t="s">
        <v>297</v>
      </c>
      <c r="B5" s="62" t="s">
        <v>519</v>
      </c>
      <c r="C5" s="63" t="s">
        <v>520</v>
      </c>
    </row>
    <row r="6" spans="1:3" ht="90" customHeight="1">
      <c r="A6" s="58" t="s">
        <v>297</v>
      </c>
      <c r="B6" s="58" t="s">
        <v>521</v>
      </c>
      <c r="C6" s="59" t="s">
        <v>522</v>
      </c>
    </row>
    <row r="7" spans="1:3">
      <c r="A7" t="s">
        <v>298</v>
      </c>
    </row>
    <row r="8" spans="1:3" ht="24" customHeight="1">
      <c r="A8" s="69" t="s">
        <v>298</v>
      </c>
      <c r="B8" t="s">
        <v>519</v>
      </c>
      <c r="C8" t="s">
        <v>523</v>
      </c>
    </row>
    <row r="9" spans="1:3" ht="90" customHeight="1">
      <c r="A9" s="62" t="s">
        <v>298</v>
      </c>
      <c r="B9" s="62" t="s">
        <v>521</v>
      </c>
      <c r="C9" s="63" t="s">
        <v>524</v>
      </c>
    </row>
    <row r="10" spans="1:3" ht="90" customHeight="1">
      <c r="A10" s="58" t="s">
        <v>299</v>
      </c>
      <c r="B10" s="58"/>
      <c r="C10" s="59"/>
    </row>
    <row r="11" spans="1:3">
      <c r="A11" t="s">
        <v>299</v>
      </c>
      <c r="B11" t="s">
        <v>519</v>
      </c>
      <c r="C11" t="s">
        <v>525</v>
      </c>
    </row>
    <row r="12" spans="1:3" ht="24" customHeight="1">
      <c r="A12" s="69" t="s">
        <v>299</v>
      </c>
      <c r="B12" t="s">
        <v>521</v>
      </c>
      <c r="C12" t="s">
        <v>526</v>
      </c>
    </row>
    <row r="13" spans="1:3" ht="90" customHeight="1">
      <c r="A13" s="62" t="s">
        <v>300</v>
      </c>
      <c r="B13" s="62"/>
      <c r="C13" s="63"/>
    </row>
    <row r="14" spans="1:3" ht="90" customHeight="1">
      <c r="A14" s="58" t="s">
        <v>300</v>
      </c>
      <c r="B14" s="58" t="s">
        <v>519</v>
      </c>
      <c r="C14" s="59" t="s">
        <v>527</v>
      </c>
    </row>
    <row r="15" spans="1:3">
      <c r="A15" t="s">
        <v>300</v>
      </c>
      <c r="B15" t="s">
        <v>521</v>
      </c>
      <c r="C15" t="s">
        <v>528</v>
      </c>
    </row>
    <row r="16" spans="1:3" ht="24" customHeight="1">
      <c r="A16" s="69" t="s">
        <v>301</v>
      </c>
    </row>
    <row r="17" spans="1:3" ht="90" customHeight="1">
      <c r="A17" s="62" t="s">
        <v>301</v>
      </c>
      <c r="B17" s="62" t="s">
        <v>519</v>
      </c>
      <c r="C17" s="63" t="s">
        <v>529</v>
      </c>
    </row>
    <row r="18" spans="1:3" ht="90" customHeight="1">
      <c r="A18" s="58" t="s">
        <v>301</v>
      </c>
      <c r="B18" s="58" t="s">
        <v>521</v>
      </c>
      <c r="C18" s="59" t="s">
        <v>530</v>
      </c>
    </row>
    <row r="19" spans="1:3">
      <c r="A19" t="s">
        <v>470</v>
      </c>
    </row>
    <row r="20" spans="1:3" ht="24" customHeight="1">
      <c r="A20" s="69" t="s">
        <v>470</v>
      </c>
      <c r="B20" t="s">
        <v>519</v>
      </c>
      <c r="C20" t="s">
        <v>531</v>
      </c>
    </row>
    <row r="21" spans="1:3" ht="90" customHeight="1">
      <c r="A21" s="62" t="s">
        <v>470</v>
      </c>
      <c r="B21" s="62" t="s">
        <v>521</v>
      </c>
      <c r="C21" s="63" t="s">
        <v>532</v>
      </c>
    </row>
    <row r="22" spans="1:3" ht="90" customHeight="1">
      <c r="A22" s="58" t="s">
        <v>303</v>
      </c>
      <c r="B22" s="58"/>
      <c r="C22" s="59"/>
    </row>
    <row r="23" spans="1:3">
      <c r="A23" t="s">
        <v>303</v>
      </c>
      <c r="B23" t="s">
        <v>519</v>
      </c>
      <c r="C23" t="s">
        <v>533</v>
      </c>
    </row>
    <row r="24" spans="1:3" ht="24" customHeight="1">
      <c r="A24" s="69" t="s">
        <v>303</v>
      </c>
      <c r="B24" t="s">
        <v>521</v>
      </c>
      <c r="C24" t="s">
        <v>534</v>
      </c>
    </row>
    <row r="25" spans="1:3" ht="90" customHeight="1">
      <c r="A25" s="62"/>
      <c r="B25" s="62"/>
      <c r="C25" s="63"/>
    </row>
    <row r="26" spans="1:3" ht="90" customHeight="1">
      <c r="A26" s="58"/>
      <c r="B26" s="58"/>
      <c r="C26" s="59"/>
    </row>
    <row r="28" spans="1:3" ht="24" customHeight="1">
      <c r="A28" s="69"/>
    </row>
    <row r="29" spans="1:3" ht="90" customHeight="1">
      <c r="A29" s="62"/>
      <c r="B29" s="62"/>
      <c r="C29" s="63"/>
    </row>
    <row r="30" spans="1:3" ht="90" customHeight="1">
      <c r="A30" s="58"/>
      <c r="B30" s="58"/>
      <c r="C30" s="59"/>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8"/>
  <sheetViews>
    <sheetView zoomScaleNormal="100" workbookViewId="0"/>
  </sheetViews>
  <sheetFormatPr defaultColWidth="8.7109375" defaultRowHeight="15"/>
  <cols>
    <col min="1" max="1" width="28" customWidth="1"/>
    <col min="2" max="2" width="80" customWidth="1"/>
  </cols>
  <sheetData>
    <row r="1" spans="1:3" ht="15" customHeight="1">
      <c r="A1" s="69" t="s">
        <v>535</v>
      </c>
    </row>
    <row r="2" spans="1:3" ht="15" customHeight="1">
      <c r="A2" s="46" t="s">
        <v>295</v>
      </c>
      <c r="B2" s="46" t="s">
        <v>536</v>
      </c>
      <c r="C2" s="45" t="s">
        <v>292</v>
      </c>
    </row>
    <row r="3" spans="1:3" ht="39.75" customHeight="1">
      <c r="A3" s="53" t="s">
        <v>537</v>
      </c>
    </row>
    <row r="4" spans="1:3" ht="90" customHeight="1">
      <c r="A4" s="47" t="s">
        <v>297</v>
      </c>
      <c r="B4" s="49" t="s">
        <v>440</v>
      </c>
      <c r="C4" s="45" t="s">
        <v>538</v>
      </c>
    </row>
    <row r="5" spans="1:3" ht="90" customHeight="1">
      <c r="A5" s="50" t="s">
        <v>297</v>
      </c>
      <c r="B5" s="52" t="s">
        <v>442</v>
      </c>
      <c r="C5" s="45" t="s">
        <v>539</v>
      </c>
    </row>
    <row r="6" spans="1:3" ht="90" customHeight="1">
      <c r="A6" s="47" t="s">
        <v>297</v>
      </c>
      <c r="B6" s="49" t="s">
        <v>444</v>
      </c>
      <c r="C6" s="45" t="s">
        <v>540</v>
      </c>
    </row>
    <row r="7" spans="1:3" ht="90" customHeight="1">
      <c r="A7" s="50" t="s">
        <v>297</v>
      </c>
      <c r="B7" s="52" t="s">
        <v>446</v>
      </c>
      <c r="C7" s="45" t="s">
        <v>541</v>
      </c>
    </row>
    <row r="8" spans="1:3" ht="90" customHeight="1">
      <c r="A8" s="47" t="s">
        <v>297</v>
      </c>
      <c r="B8" s="49" t="s">
        <v>448</v>
      </c>
      <c r="C8" s="45" t="s">
        <v>542</v>
      </c>
    </row>
    <row r="9" spans="1:3" ht="90" customHeight="1">
      <c r="A9" s="50" t="s">
        <v>298</v>
      </c>
      <c r="B9" s="52" t="s">
        <v>440</v>
      </c>
      <c r="C9" s="45" t="s">
        <v>543</v>
      </c>
    </row>
    <row r="10" spans="1:3" ht="90" customHeight="1">
      <c r="A10" s="47" t="s">
        <v>298</v>
      </c>
      <c r="B10" s="49" t="s">
        <v>442</v>
      </c>
      <c r="C10" s="45" t="s">
        <v>544</v>
      </c>
    </row>
    <row r="11" spans="1:3">
      <c r="A11" t="s">
        <v>298</v>
      </c>
      <c r="B11" t="s">
        <v>444</v>
      </c>
      <c r="C11" s="45" t="s">
        <v>545</v>
      </c>
    </row>
    <row r="12" spans="1:3">
      <c r="A12" t="s">
        <v>298</v>
      </c>
      <c r="B12" t="s">
        <v>446</v>
      </c>
      <c r="C12" s="45" t="s">
        <v>546</v>
      </c>
    </row>
    <row r="13" spans="1:3">
      <c r="A13" t="s">
        <v>298</v>
      </c>
      <c r="B13" t="s">
        <v>448</v>
      </c>
      <c r="C13" s="45" t="s">
        <v>547</v>
      </c>
    </row>
    <row r="14" spans="1:3">
      <c r="A14" t="s">
        <v>299</v>
      </c>
      <c r="B14" t="s">
        <v>440</v>
      </c>
      <c r="C14" s="45" t="s">
        <v>548</v>
      </c>
    </row>
    <row r="15" spans="1:3">
      <c r="A15" t="s">
        <v>299</v>
      </c>
      <c r="B15" t="s">
        <v>442</v>
      </c>
      <c r="C15" s="45" t="s">
        <v>549</v>
      </c>
    </row>
    <row r="16" spans="1:3">
      <c r="A16" t="s">
        <v>299</v>
      </c>
      <c r="B16" t="s">
        <v>444</v>
      </c>
      <c r="C16" s="45" t="s">
        <v>550</v>
      </c>
    </row>
    <row r="17" spans="1:3">
      <c r="A17" t="s">
        <v>299</v>
      </c>
      <c r="B17" t="s">
        <v>446</v>
      </c>
      <c r="C17" s="45" t="s">
        <v>551</v>
      </c>
    </row>
    <row r="18" spans="1:3">
      <c r="A18" t="s">
        <v>299</v>
      </c>
      <c r="B18" t="s">
        <v>448</v>
      </c>
      <c r="C18" s="45" t="s">
        <v>552</v>
      </c>
    </row>
    <row r="19" spans="1:3">
      <c r="A19" t="s">
        <v>300</v>
      </c>
      <c r="B19" t="s">
        <v>440</v>
      </c>
      <c r="C19" s="45" t="s">
        <v>553</v>
      </c>
    </row>
    <row r="20" spans="1:3">
      <c r="A20" t="s">
        <v>300</v>
      </c>
      <c r="B20" t="s">
        <v>442</v>
      </c>
      <c r="C20" s="45" t="s">
        <v>554</v>
      </c>
    </row>
    <row r="21" spans="1:3">
      <c r="A21" t="s">
        <v>300</v>
      </c>
      <c r="B21" t="s">
        <v>444</v>
      </c>
      <c r="C21" s="45" t="s">
        <v>555</v>
      </c>
    </row>
    <row r="22" spans="1:3">
      <c r="A22" t="s">
        <v>300</v>
      </c>
      <c r="B22" t="s">
        <v>446</v>
      </c>
      <c r="C22" s="45" t="s">
        <v>556</v>
      </c>
    </row>
    <row r="23" spans="1:3">
      <c r="A23" t="s">
        <v>300</v>
      </c>
      <c r="B23" t="s">
        <v>448</v>
      </c>
      <c r="C23" s="45" t="s">
        <v>557</v>
      </c>
    </row>
    <row r="24" spans="1:3">
      <c r="A24" t="s">
        <v>301</v>
      </c>
      <c r="B24" t="s">
        <v>440</v>
      </c>
      <c r="C24" s="45" t="s">
        <v>558</v>
      </c>
    </row>
    <row r="25" spans="1:3">
      <c r="A25" t="s">
        <v>301</v>
      </c>
      <c r="B25" t="s">
        <v>442</v>
      </c>
      <c r="C25" s="45" t="s">
        <v>559</v>
      </c>
    </row>
    <row r="26" spans="1:3">
      <c r="A26" t="s">
        <v>301</v>
      </c>
      <c r="B26" t="s">
        <v>444</v>
      </c>
      <c r="C26" s="45" t="s">
        <v>560</v>
      </c>
    </row>
    <row r="27" spans="1:3">
      <c r="A27" t="s">
        <v>301</v>
      </c>
      <c r="B27" t="s">
        <v>446</v>
      </c>
      <c r="C27" s="45" t="s">
        <v>561</v>
      </c>
    </row>
    <row r="28" spans="1:3">
      <c r="A28" t="s">
        <v>301</v>
      </c>
      <c r="B28" t="s">
        <v>448</v>
      </c>
      <c r="C28" s="45" t="s">
        <v>562</v>
      </c>
    </row>
    <row r="29" spans="1:3">
      <c r="A29" t="s">
        <v>470</v>
      </c>
      <c r="B29" t="s">
        <v>440</v>
      </c>
      <c r="C29" s="45" t="s">
        <v>563</v>
      </c>
    </row>
    <row r="30" spans="1:3">
      <c r="A30" t="s">
        <v>470</v>
      </c>
      <c r="B30" t="s">
        <v>442</v>
      </c>
      <c r="C30" s="45" t="s">
        <v>564</v>
      </c>
    </row>
    <row r="31" spans="1:3">
      <c r="A31" t="s">
        <v>470</v>
      </c>
      <c r="B31" t="s">
        <v>444</v>
      </c>
      <c r="C31" s="45" t="s">
        <v>565</v>
      </c>
    </row>
    <row r="32" spans="1:3">
      <c r="A32" t="s">
        <v>470</v>
      </c>
      <c r="B32" t="s">
        <v>446</v>
      </c>
      <c r="C32" s="45" t="s">
        <v>566</v>
      </c>
    </row>
    <row r="33" spans="1:3">
      <c r="A33" t="s">
        <v>470</v>
      </c>
      <c r="B33" t="s">
        <v>448</v>
      </c>
      <c r="C33" s="45" t="s">
        <v>567</v>
      </c>
    </row>
    <row r="34" spans="1:3">
      <c r="A34" t="s">
        <v>303</v>
      </c>
      <c r="B34" t="s">
        <v>440</v>
      </c>
      <c r="C34" s="45" t="s">
        <v>568</v>
      </c>
    </row>
    <row r="35" spans="1:3">
      <c r="A35" t="s">
        <v>303</v>
      </c>
      <c r="B35" t="s">
        <v>442</v>
      </c>
      <c r="C35" s="45" t="s">
        <v>569</v>
      </c>
    </row>
    <row r="36" spans="1:3">
      <c r="A36" t="s">
        <v>303</v>
      </c>
      <c r="B36" t="s">
        <v>444</v>
      </c>
      <c r="C36" s="45" t="s">
        <v>570</v>
      </c>
    </row>
    <row r="37" spans="1:3">
      <c r="A37" t="s">
        <v>303</v>
      </c>
      <c r="B37" t="s">
        <v>446</v>
      </c>
      <c r="C37" s="45" t="s">
        <v>571</v>
      </c>
    </row>
    <row r="38" spans="1:3">
      <c r="A38" t="s">
        <v>303</v>
      </c>
      <c r="B38" t="s">
        <v>448</v>
      </c>
      <c r="C38" s="45" t="s">
        <v>572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44"/>
  <sheetViews>
    <sheetView zoomScaleNormal="100" workbookViewId="0"/>
  </sheetViews>
  <sheetFormatPr defaultColWidth="8.7109375" defaultRowHeight="15"/>
  <cols>
    <col min="1" max="1" width="28" customWidth="1"/>
    <col min="2" max="2" width="20" customWidth="1"/>
    <col min="3" max="3" width="80" customWidth="1"/>
  </cols>
  <sheetData>
    <row r="1" spans="1:3" ht="15" customHeight="1">
      <c r="A1" s="69" t="s">
        <v>573</v>
      </c>
    </row>
    <row r="2" spans="1:3" ht="15" customHeight="1">
      <c r="A2" s="46" t="s">
        <v>295</v>
      </c>
      <c r="B2" s="46" t="s">
        <v>574</v>
      </c>
      <c r="C2" s="46" t="s">
        <v>320</v>
      </c>
    </row>
    <row r="3" spans="1:3" ht="34.5" customHeight="1">
      <c r="A3" s="53" t="s">
        <v>575</v>
      </c>
    </row>
    <row r="4" spans="1:3" ht="24" customHeight="1">
      <c r="A4" s="69" t="s">
        <v>297</v>
      </c>
      <c r="B4" t="s">
        <v>576</v>
      </c>
      <c r="C4" s="64" t="s">
        <v>577</v>
      </c>
    </row>
    <row r="5" spans="1:3" ht="109.5" customHeight="1">
      <c r="A5" s="54" t="s">
        <v>297</v>
      </c>
      <c r="B5" s="54" t="s">
        <v>578</v>
      </c>
      <c r="C5" s="55" t="s">
        <v>579</v>
      </c>
    </row>
    <row r="6" spans="1:3" ht="109.5" customHeight="1">
      <c r="A6" s="56" t="s">
        <v>297</v>
      </c>
      <c r="B6" s="56" t="s">
        <v>580</v>
      </c>
      <c r="C6" s="57" t="s">
        <v>581</v>
      </c>
    </row>
    <row r="7" spans="1:3" ht="109.5" customHeight="1">
      <c r="A7" s="58" t="s">
        <v>297</v>
      </c>
      <c r="B7" s="58" t="s">
        <v>582</v>
      </c>
      <c r="C7" s="59" t="s">
        <v>583</v>
      </c>
    </row>
    <row r="8" spans="1:3" ht="109.5" customHeight="1">
      <c r="A8" s="60" t="s">
        <v>297</v>
      </c>
      <c r="B8" s="60" t="s">
        <v>584</v>
      </c>
      <c r="C8" s="61" t="s">
        <v>585</v>
      </c>
    </row>
    <row r="9" spans="1:3" ht="68.650000000000006">
      <c r="A9" t="s">
        <v>298</v>
      </c>
      <c r="B9" t="s">
        <v>576</v>
      </c>
      <c r="C9" s="64" t="s">
        <v>586</v>
      </c>
    </row>
    <row r="10" spans="1:3" ht="24" customHeight="1">
      <c r="A10" s="69" t="s">
        <v>298</v>
      </c>
      <c r="B10" t="s">
        <v>578</v>
      </c>
      <c r="C10" s="64" t="s">
        <v>587</v>
      </c>
    </row>
    <row r="11" spans="1:3" ht="109.5" customHeight="1">
      <c r="A11" s="54" t="s">
        <v>298</v>
      </c>
      <c r="B11" s="54" t="s">
        <v>580</v>
      </c>
      <c r="C11" s="55" t="s">
        <v>588</v>
      </c>
    </row>
    <row r="12" spans="1:3" ht="109.5" customHeight="1">
      <c r="A12" s="56" t="s">
        <v>298</v>
      </c>
      <c r="B12" s="56" t="s">
        <v>582</v>
      </c>
      <c r="C12" s="57" t="s">
        <v>589</v>
      </c>
    </row>
    <row r="13" spans="1:3" ht="109.5" customHeight="1">
      <c r="A13" s="58" t="s">
        <v>298</v>
      </c>
      <c r="B13" s="58" t="s">
        <v>584</v>
      </c>
      <c r="C13" s="59" t="s">
        <v>590</v>
      </c>
    </row>
    <row r="14" spans="1:3" ht="109.5" customHeight="1">
      <c r="A14" s="60" t="s">
        <v>299</v>
      </c>
      <c r="B14" s="60" t="s">
        <v>576</v>
      </c>
      <c r="C14" s="61" t="s">
        <v>591</v>
      </c>
    </row>
    <row r="15" spans="1:3" ht="41.85">
      <c r="A15" t="s">
        <v>299</v>
      </c>
      <c r="B15" t="s">
        <v>578</v>
      </c>
      <c r="C15" s="64" t="s">
        <v>592</v>
      </c>
    </row>
    <row r="16" spans="1:3" ht="24" customHeight="1">
      <c r="A16" s="69" t="s">
        <v>299</v>
      </c>
      <c r="B16" t="s">
        <v>580</v>
      </c>
      <c r="C16" s="64" t="s">
        <v>593</v>
      </c>
    </row>
    <row r="17" spans="1:3" ht="109.5" customHeight="1">
      <c r="A17" s="54" t="s">
        <v>299</v>
      </c>
      <c r="B17" s="54" t="s">
        <v>582</v>
      </c>
      <c r="C17" s="55" t="s">
        <v>594</v>
      </c>
    </row>
    <row r="18" spans="1:3" ht="109.5" customHeight="1">
      <c r="A18" s="56" t="s">
        <v>299</v>
      </c>
      <c r="B18" s="56" t="s">
        <v>584</v>
      </c>
      <c r="C18" s="57" t="s">
        <v>595</v>
      </c>
    </row>
    <row r="19" spans="1:3" ht="109.5" customHeight="1">
      <c r="A19" s="58" t="s">
        <v>300</v>
      </c>
      <c r="B19" s="58" t="s">
        <v>576</v>
      </c>
      <c r="C19" s="59" t="s">
        <v>596</v>
      </c>
    </row>
    <row r="20" spans="1:3" ht="109.5" customHeight="1">
      <c r="A20" s="60" t="s">
        <v>300</v>
      </c>
      <c r="B20" s="60" t="s">
        <v>578</v>
      </c>
      <c r="C20" s="61" t="s">
        <v>597</v>
      </c>
    </row>
    <row r="21" spans="1:3" ht="41.85">
      <c r="A21" t="s">
        <v>300</v>
      </c>
      <c r="B21" t="s">
        <v>580</v>
      </c>
      <c r="C21" s="64" t="s">
        <v>598</v>
      </c>
    </row>
    <row r="22" spans="1:3" ht="24" customHeight="1">
      <c r="A22" s="69" t="s">
        <v>300</v>
      </c>
      <c r="B22" t="s">
        <v>582</v>
      </c>
      <c r="C22" s="64" t="s">
        <v>599</v>
      </c>
    </row>
    <row r="23" spans="1:3" ht="109.5" customHeight="1">
      <c r="A23" s="54" t="s">
        <v>300</v>
      </c>
      <c r="B23" s="54" t="s">
        <v>584</v>
      </c>
      <c r="C23" s="55" t="s">
        <v>600</v>
      </c>
    </row>
    <row r="24" spans="1:3" ht="109.5" customHeight="1">
      <c r="A24" s="56" t="s">
        <v>301</v>
      </c>
      <c r="B24" s="56" t="s">
        <v>576</v>
      </c>
      <c r="C24" s="57" t="s">
        <v>601</v>
      </c>
    </row>
    <row r="25" spans="1:3" ht="109.5" customHeight="1">
      <c r="A25" s="58" t="s">
        <v>301</v>
      </c>
      <c r="B25" s="58" t="s">
        <v>578</v>
      </c>
      <c r="C25" s="59" t="s">
        <v>602</v>
      </c>
    </row>
    <row r="26" spans="1:3" ht="109.5" customHeight="1">
      <c r="A26" s="60" t="s">
        <v>301</v>
      </c>
      <c r="B26" s="60" t="s">
        <v>580</v>
      </c>
      <c r="C26" s="61" t="s">
        <v>603</v>
      </c>
    </row>
    <row r="27" spans="1:3" ht="41.85">
      <c r="A27" t="s">
        <v>301</v>
      </c>
      <c r="B27" t="s">
        <v>582</v>
      </c>
      <c r="C27" s="64" t="s">
        <v>604</v>
      </c>
    </row>
    <row r="28" spans="1:3" ht="24" customHeight="1">
      <c r="A28" s="69" t="s">
        <v>301</v>
      </c>
      <c r="B28" t="s">
        <v>584</v>
      </c>
      <c r="C28" s="64" t="s">
        <v>605</v>
      </c>
    </row>
    <row r="29" spans="1:3" ht="109.5" customHeight="1">
      <c r="A29" s="54" t="s">
        <v>470</v>
      </c>
      <c r="B29" s="54" t="s">
        <v>576</v>
      </c>
      <c r="C29" s="55" t="s">
        <v>606</v>
      </c>
    </row>
    <row r="30" spans="1:3" ht="109.5" customHeight="1">
      <c r="A30" s="56" t="s">
        <v>470</v>
      </c>
      <c r="B30" s="56" t="s">
        <v>578</v>
      </c>
      <c r="C30" s="57" t="s">
        <v>607</v>
      </c>
    </row>
    <row r="31" spans="1:3" ht="109.5" customHeight="1">
      <c r="A31" s="58" t="s">
        <v>470</v>
      </c>
      <c r="B31" s="58" t="s">
        <v>580</v>
      </c>
      <c r="C31" s="59" t="s">
        <v>608</v>
      </c>
    </row>
    <row r="32" spans="1:3" ht="109.5" customHeight="1">
      <c r="A32" s="60" t="s">
        <v>470</v>
      </c>
      <c r="B32" s="60" t="s">
        <v>582</v>
      </c>
      <c r="C32" s="61" t="s">
        <v>609</v>
      </c>
    </row>
    <row r="33" spans="1:3" ht="41.85">
      <c r="A33" t="s">
        <v>470</v>
      </c>
      <c r="B33" t="s">
        <v>584</v>
      </c>
      <c r="C33" s="64" t="s">
        <v>610</v>
      </c>
    </row>
    <row r="34" spans="1:3" ht="24" customHeight="1">
      <c r="A34" s="69" t="s">
        <v>303</v>
      </c>
      <c r="B34" t="s">
        <v>576</v>
      </c>
      <c r="C34" s="64" t="s">
        <v>611</v>
      </c>
    </row>
    <row r="35" spans="1:3" ht="109.5" customHeight="1">
      <c r="A35" s="54" t="s">
        <v>303</v>
      </c>
      <c r="B35" s="54" t="s">
        <v>578</v>
      </c>
      <c r="C35" s="55" t="s">
        <v>612</v>
      </c>
    </row>
    <row r="36" spans="1:3" ht="109.5" customHeight="1">
      <c r="A36" s="56" t="s">
        <v>303</v>
      </c>
      <c r="B36" s="56" t="s">
        <v>580</v>
      </c>
      <c r="C36" s="57" t="s">
        <v>613</v>
      </c>
    </row>
    <row r="37" spans="1:3" ht="109.5" customHeight="1">
      <c r="A37" s="58" t="s">
        <v>303</v>
      </c>
      <c r="B37" s="58" t="s">
        <v>582</v>
      </c>
      <c r="C37" s="59" t="s">
        <v>614</v>
      </c>
    </row>
    <row r="38" spans="1:3" ht="109.5" customHeight="1">
      <c r="A38" s="60" t="s">
        <v>303</v>
      </c>
      <c r="B38" s="60" t="s">
        <v>584</v>
      </c>
      <c r="C38" s="61" t="s">
        <v>615</v>
      </c>
    </row>
    <row r="40" spans="1:3" ht="24" customHeight="1">
      <c r="A40" s="69"/>
    </row>
    <row r="41" spans="1:3" ht="109.5" customHeight="1">
      <c r="A41" s="54"/>
      <c r="B41" s="54"/>
      <c r="C41" s="55"/>
    </row>
    <row r="42" spans="1:3" ht="109.5" customHeight="1">
      <c r="A42" s="56"/>
      <c r="B42" s="56"/>
      <c r="C42" s="57"/>
    </row>
    <row r="43" spans="1:3" ht="109.5" customHeight="1">
      <c r="A43" s="58"/>
      <c r="B43" s="58"/>
      <c r="C43" s="59"/>
    </row>
    <row r="44" spans="1:3" ht="109.5" customHeight="1">
      <c r="A44" s="60"/>
      <c r="B44" s="60"/>
      <c r="C44" s="61"/>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2026-05-05T10:48:29Z</dcterms:created>
  <dcterms:modified xsi:type="dcterms:W3CDTF">2026-06-07T09:28:59Z</dcterms:modified>
  <cp:category/>
  <cp:contentStatus/>
</cp:coreProperties>
</file>